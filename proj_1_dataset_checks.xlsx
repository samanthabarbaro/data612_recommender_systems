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 Barbaro\Desktop\Data 612\"/>
    </mc:Choice>
  </mc:AlternateContent>
  <xr:revisionPtr revIDLastSave="0" documentId="13_ncr:1_{7C352F37-85F0-4BFF-8ED5-531EA4F960AA}" xr6:coauthVersionLast="47" xr6:coauthVersionMax="47" xr10:uidLastSave="{00000000-0000-0000-0000-000000000000}"/>
  <bookViews>
    <workbookView xWindow="-110" yWindow="-110" windowWidth="19420" windowHeight="11500" activeTab="2" xr2:uid="{E2E25CBE-4EB7-4959-A399-C4AD6E730F5C}"/>
  </bookViews>
  <sheets>
    <sheet name="proj_1_dataset" sheetId="1" r:id="rId1"/>
    <sheet name="training set" sheetId="2" r:id="rId2"/>
    <sheet name="test set" sheetId="3" r:id="rId3"/>
  </sheets>
  <definedNames>
    <definedName name="_xlnm._FilterDatabase" localSheetId="2" hidden="1">'test set'!$A$21:$P$213</definedName>
    <definedName name="_xlnm._FilterDatabase" localSheetId="1" hidden="1">'training set'!$A$22:$H$214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8" i="3" l="1"/>
  <c r="C217" i="3"/>
  <c r="D191" i="3"/>
  <c r="G191" i="3" s="1"/>
  <c r="H191" i="3" s="1"/>
  <c r="D192" i="3"/>
  <c r="G192" i="3" s="1"/>
  <c r="H192" i="3" s="1"/>
  <c r="D193" i="3"/>
  <c r="G193" i="3" s="1"/>
  <c r="H193" i="3" s="1"/>
  <c r="D194" i="3"/>
  <c r="G194" i="3" s="1"/>
  <c r="H194" i="3" s="1"/>
  <c r="D195" i="3"/>
  <c r="D196" i="3"/>
  <c r="G196" i="3" s="1"/>
  <c r="H196" i="3" s="1"/>
  <c r="D197" i="3"/>
  <c r="G197" i="3" s="1"/>
  <c r="H197" i="3" s="1"/>
  <c r="D198" i="3"/>
  <c r="G198" i="3" s="1"/>
  <c r="H198" i="3" s="1"/>
  <c r="D199" i="3"/>
  <c r="G199" i="3" s="1"/>
  <c r="H199" i="3" s="1"/>
  <c r="D200" i="3"/>
  <c r="D201" i="3"/>
  <c r="G201" i="3" s="1"/>
  <c r="H201" i="3" s="1"/>
  <c r="D202" i="3"/>
  <c r="G202" i="3" s="1"/>
  <c r="H202" i="3" s="1"/>
  <c r="D203" i="3"/>
  <c r="G203" i="3" s="1"/>
  <c r="H203" i="3" s="1"/>
  <c r="D204" i="3"/>
  <c r="G204" i="3" s="1"/>
  <c r="H204" i="3" s="1"/>
  <c r="D205" i="3"/>
  <c r="G205" i="3" s="1"/>
  <c r="H205" i="3" s="1"/>
  <c r="D206" i="3"/>
  <c r="G206" i="3" s="1"/>
  <c r="H206" i="3" s="1"/>
  <c r="D207" i="3"/>
  <c r="G207" i="3" s="1"/>
  <c r="H207" i="3" s="1"/>
  <c r="D208" i="3"/>
  <c r="D209" i="3"/>
  <c r="G209" i="3" s="1"/>
  <c r="H209" i="3" s="1"/>
  <c r="D210" i="3"/>
  <c r="G210" i="3" s="1"/>
  <c r="H210" i="3" s="1"/>
  <c r="D211" i="3"/>
  <c r="D212" i="3"/>
  <c r="G212" i="3" s="1"/>
  <c r="H212" i="3" s="1"/>
  <c r="D213" i="3"/>
  <c r="G213" i="3" s="1"/>
  <c r="H213" i="3" s="1"/>
  <c r="D190" i="3"/>
  <c r="G190" i="3" s="1"/>
  <c r="H190" i="3" s="1"/>
  <c r="D179" i="3"/>
  <c r="G179" i="3" s="1"/>
  <c r="H179" i="3" s="1"/>
  <c r="D180" i="3"/>
  <c r="D181" i="3"/>
  <c r="G181" i="3" s="1"/>
  <c r="H181" i="3" s="1"/>
  <c r="D182" i="3"/>
  <c r="G182" i="3" s="1"/>
  <c r="H182" i="3" s="1"/>
  <c r="D183" i="3"/>
  <c r="G183" i="3" s="1"/>
  <c r="H183" i="3" s="1"/>
  <c r="D184" i="3"/>
  <c r="G184" i="3" s="1"/>
  <c r="H184" i="3" s="1"/>
  <c r="D185" i="3"/>
  <c r="G185" i="3" s="1"/>
  <c r="H185" i="3" s="1"/>
  <c r="I185" i="3" s="1"/>
  <c r="D186" i="3"/>
  <c r="G186" i="3" s="1"/>
  <c r="H186" i="3" s="1"/>
  <c r="D187" i="3"/>
  <c r="G187" i="3" s="1"/>
  <c r="H187" i="3" s="1"/>
  <c r="D188" i="3"/>
  <c r="G188" i="3" s="1"/>
  <c r="H188" i="3" s="1"/>
  <c r="D189" i="3"/>
  <c r="G189" i="3" s="1"/>
  <c r="H189" i="3" s="1"/>
  <c r="D178" i="3"/>
  <c r="D167" i="3"/>
  <c r="G167" i="3" s="1"/>
  <c r="H167" i="3" s="1"/>
  <c r="D168" i="3"/>
  <c r="D169" i="3"/>
  <c r="G169" i="3" s="1"/>
  <c r="H169" i="3" s="1"/>
  <c r="D170" i="3"/>
  <c r="G170" i="3" s="1"/>
  <c r="H170" i="3" s="1"/>
  <c r="I170" i="3" s="1"/>
  <c r="D171" i="3"/>
  <c r="G171" i="3" s="1"/>
  <c r="H171" i="3" s="1"/>
  <c r="D172" i="3"/>
  <c r="G172" i="3" s="1"/>
  <c r="H172" i="3" s="1"/>
  <c r="D173" i="3"/>
  <c r="G173" i="3" s="1"/>
  <c r="H173" i="3" s="1"/>
  <c r="D174" i="3"/>
  <c r="G174" i="3" s="1"/>
  <c r="H174" i="3" s="1"/>
  <c r="D175" i="3"/>
  <c r="G175" i="3" s="1"/>
  <c r="H175" i="3" s="1"/>
  <c r="D176" i="3"/>
  <c r="G176" i="3" s="1"/>
  <c r="H176" i="3" s="1"/>
  <c r="D177" i="3"/>
  <c r="G177" i="3" s="1"/>
  <c r="H177" i="3" s="1"/>
  <c r="I177" i="3" s="1"/>
  <c r="D166" i="3"/>
  <c r="G166" i="3" s="1"/>
  <c r="H166" i="3" s="1"/>
  <c r="D159" i="3"/>
  <c r="D160" i="3"/>
  <c r="D161" i="3"/>
  <c r="G161" i="3" s="1"/>
  <c r="H161" i="3" s="1"/>
  <c r="D162" i="3"/>
  <c r="G162" i="3" s="1"/>
  <c r="H162" i="3" s="1"/>
  <c r="D163" i="3"/>
  <c r="G163" i="3" s="1"/>
  <c r="H163" i="3" s="1"/>
  <c r="D164" i="3"/>
  <c r="D165" i="3"/>
  <c r="G165" i="3" s="1"/>
  <c r="H165" i="3" s="1"/>
  <c r="D155" i="3"/>
  <c r="D156" i="3"/>
  <c r="G156" i="3" s="1"/>
  <c r="H156" i="3" s="1"/>
  <c r="D157" i="3"/>
  <c r="G157" i="3" s="1"/>
  <c r="H157" i="3" s="1"/>
  <c r="D158" i="3"/>
  <c r="G158" i="3" s="1"/>
  <c r="H158" i="3" s="1"/>
  <c r="D154" i="3"/>
  <c r="G154" i="3" s="1"/>
  <c r="H154" i="3" s="1"/>
  <c r="D153" i="3"/>
  <c r="G153" i="3" s="1"/>
  <c r="H153" i="3" s="1"/>
  <c r="D143" i="3"/>
  <c r="G143" i="3" s="1"/>
  <c r="H143" i="3" s="1"/>
  <c r="D144" i="3"/>
  <c r="G144" i="3" s="1"/>
  <c r="H144" i="3" s="1"/>
  <c r="D145" i="3"/>
  <c r="G145" i="3" s="1"/>
  <c r="H145" i="3" s="1"/>
  <c r="D146" i="3"/>
  <c r="D147" i="3"/>
  <c r="G147" i="3" s="1"/>
  <c r="H147" i="3" s="1"/>
  <c r="D148" i="3"/>
  <c r="G148" i="3" s="1"/>
  <c r="H148" i="3" s="1"/>
  <c r="D149" i="3"/>
  <c r="G149" i="3" s="1"/>
  <c r="H149" i="3" s="1"/>
  <c r="D150" i="3"/>
  <c r="G150" i="3" s="1"/>
  <c r="H150" i="3" s="1"/>
  <c r="D151" i="3"/>
  <c r="G151" i="3" s="1"/>
  <c r="H151" i="3" s="1"/>
  <c r="D152" i="3"/>
  <c r="G152" i="3" s="1"/>
  <c r="H152" i="3" s="1"/>
  <c r="D142" i="3"/>
  <c r="G142" i="3" s="1"/>
  <c r="H142" i="3" s="1"/>
  <c r="D131" i="3"/>
  <c r="D132" i="3"/>
  <c r="G132" i="3" s="1"/>
  <c r="H132" i="3" s="1"/>
  <c r="D133" i="3"/>
  <c r="G133" i="3" s="1"/>
  <c r="H133" i="3" s="1"/>
  <c r="D134" i="3"/>
  <c r="G134" i="3" s="1"/>
  <c r="H134" i="3" s="1"/>
  <c r="D135" i="3"/>
  <c r="G135" i="3" s="1"/>
  <c r="H135" i="3" s="1"/>
  <c r="I135" i="3" s="1"/>
  <c r="D136" i="3"/>
  <c r="G136" i="3" s="1"/>
  <c r="H136" i="3" s="1"/>
  <c r="D137" i="3"/>
  <c r="G137" i="3" s="1"/>
  <c r="H137" i="3" s="1"/>
  <c r="I137" i="3" s="1"/>
  <c r="D138" i="3"/>
  <c r="G138" i="3" s="1"/>
  <c r="H138" i="3" s="1"/>
  <c r="D139" i="3"/>
  <c r="G139" i="3" s="1"/>
  <c r="H139" i="3" s="1"/>
  <c r="D140" i="3"/>
  <c r="G140" i="3" s="1"/>
  <c r="H140" i="3" s="1"/>
  <c r="D141" i="3"/>
  <c r="G141" i="3" s="1"/>
  <c r="H141" i="3" s="1"/>
  <c r="D130" i="3"/>
  <c r="D119" i="3"/>
  <c r="G119" i="3" s="1"/>
  <c r="H119" i="3" s="1"/>
  <c r="I119" i="3" s="1"/>
  <c r="D120" i="3"/>
  <c r="G120" i="3" s="1"/>
  <c r="H120" i="3" s="1"/>
  <c r="D121" i="3"/>
  <c r="G121" i="3" s="1"/>
  <c r="H121" i="3" s="1"/>
  <c r="D122" i="3"/>
  <c r="G122" i="3" s="1"/>
  <c r="H122" i="3" s="1"/>
  <c r="D123" i="3"/>
  <c r="G123" i="3" s="1"/>
  <c r="H123" i="3" s="1"/>
  <c r="D124" i="3"/>
  <c r="D125" i="3"/>
  <c r="G125" i="3" s="1"/>
  <c r="H125" i="3" s="1"/>
  <c r="D126" i="3"/>
  <c r="G126" i="3" s="1"/>
  <c r="H126" i="3" s="1"/>
  <c r="D127" i="3"/>
  <c r="G127" i="3" s="1"/>
  <c r="H127" i="3" s="1"/>
  <c r="D128" i="3"/>
  <c r="G128" i="3" s="1"/>
  <c r="H128" i="3" s="1"/>
  <c r="D129" i="3"/>
  <c r="G129" i="3" s="1"/>
  <c r="H129" i="3" s="1"/>
  <c r="I129" i="3" s="1"/>
  <c r="D118" i="3"/>
  <c r="G118" i="3" s="1"/>
  <c r="H118" i="3" s="1"/>
  <c r="D107" i="3"/>
  <c r="G107" i="3" s="1"/>
  <c r="H107" i="3" s="1"/>
  <c r="D108" i="3"/>
  <c r="G108" i="3" s="1"/>
  <c r="H108" i="3" s="1"/>
  <c r="D109" i="3"/>
  <c r="G109" i="3" s="1"/>
  <c r="H109" i="3" s="1"/>
  <c r="D110" i="3"/>
  <c r="G110" i="3" s="1"/>
  <c r="H110" i="3" s="1"/>
  <c r="D111" i="3"/>
  <c r="G111" i="3" s="1"/>
  <c r="H111" i="3" s="1"/>
  <c r="D112" i="3"/>
  <c r="G112" i="3" s="1"/>
  <c r="H112" i="3" s="1"/>
  <c r="D113" i="3"/>
  <c r="G113" i="3" s="1"/>
  <c r="H113" i="3" s="1"/>
  <c r="D114" i="3"/>
  <c r="G114" i="3" s="1"/>
  <c r="H114" i="3" s="1"/>
  <c r="D115" i="3"/>
  <c r="G115" i="3" s="1"/>
  <c r="H115" i="3" s="1"/>
  <c r="D116" i="3"/>
  <c r="G116" i="3" s="1"/>
  <c r="H116" i="3" s="1"/>
  <c r="D117" i="3"/>
  <c r="G117" i="3" s="1"/>
  <c r="H117" i="3" s="1"/>
  <c r="D106" i="3"/>
  <c r="G106" i="3" s="1"/>
  <c r="H106" i="3" s="1"/>
  <c r="D95" i="3"/>
  <c r="G95" i="3" s="1"/>
  <c r="H95" i="3" s="1"/>
  <c r="D96" i="3"/>
  <c r="G96" i="3" s="1"/>
  <c r="H96" i="3" s="1"/>
  <c r="D97" i="3"/>
  <c r="G97" i="3" s="1"/>
  <c r="H97" i="3" s="1"/>
  <c r="D98" i="3"/>
  <c r="G98" i="3" s="1"/>
  <c r="H98" i="3" s="1"/>
  <c r="D99" i="3"/>
  <c r="G99" i="3" s="1"/>
  <c r="H99" i="3" s="1"/>
  <c r="D100" i="3"/>
  <c r="D101" i="3"/>
  <c r="G101" i="3" s="1"/>
  <c r="H101" i="3" s="1"/>
  <c r="D102" i="3"/>
  <c r="G102" i="3" s="1"/>
  <c r="H102" i="3" s="1"/>
  <c r="D103" i="3"/>
  <c r="G103" i="3" s="1"/>
  <c r="H103" i="3" s="1"/>
  <c r="D104" i="3"/>
  <c r="G104" i="3" s="1"/>
  <c r="H104" i="3" s="1"/>
  <c r="D105" i="3"/>
  <c r="G105" i="3" s="1"/>
  <c r="H105" i="3" s="1"/>
  <c r="D94" i="3"/>
  <c r="G94" i="3" s="1"/>
  <c r="H94" i="3" s="1"/>
  <c r="D83" i="3"/>
  <c r="G83" i="3" s="1"/>
  <c r="H83" i="3" s="1"/>
  <c r="D84" i="3"/>
  <c r="G84" i="3" s="1"/>
  <c r="H84" i="3" s="1"/>
  <c r="D85" i="3"/>
  <c r="G85" i="3" s="1"/>
  <c r="H85" i="3" s="1"/>
  <c r="D86" i="3"/>
  <c r="G86" i="3" s="1"/>
  <c r="H86" i="3" s="1"/>
  <c r="D87" i="3"/>
  <c r="G87" i="3" s="1"/>
  <c r="H87" i="3" s="1"/>
  <c r="I87" i="3" s="1"/>
  <c r="D88" i="3"/>
  <c r="G88" i="3" s="1"/>
  <c r="H88" i="3" s="1"/>
  <c r="D89" i="3"/>
  <c r="G89" i="3" s="1"/>
  <c r="H89" i="3" s="1"/>
  <c r="D90" i="3"/>
  <c r="G90" i="3" s="1"/>
  <c r="H90" i="3" s="1"/>
  <c r="D91" i="3"/>
  <c r="G91" i="3" s="1"/>
  <c r="H91" i="3" s="1"/>
  <c r="D92" i="3"/>
  <c r="D93" i="3"/>
  <c r="G93" i="3" s="1"/>
  <c r="H93" i="3" s="1"/>
  <c r="G130" i="3"/>
  <c r="H130" i="3" s="1"/>
  <c r="G146" i="3"/>
  <c r="H146" i="3" s="1"/>
  <c r="G178" i="3"/>
  <c r="H178" i="3" s="1"/>
  <c r="G131" i="3"/>
  <c r="H131" i="3" s="1"/>
  <c r="G168" i="3"/>
  <c r="H168" i="3" s="1"/>
  <c r="G195" i="3"/>
  <c r="H195" i="3" s="1"/>
  <c r="G200" i="3"/>
  <c r="H200" i="3" s="1"/>
  <c r="G208" i="3"/>
  <c r="H208" i="3" s="1"/>
  <c r="G211" i="3"/>
  <c r="H211" i="3" s="1"/>
  <c r="D82" i="3"/>
  <c r="G82" i="3" s="1"/>
  <c r="H82" i="3" s="1"/>
  <c r="D81" i="3"/>
  <c r="G81" i="3" s="1"/>
  <c r="H81" i="3" s="1"/>
  <c r="I81" i="3" s="1"/>
  <c r="G26" i="3"/>
  <c r="H26" i="3" s="1"/>
  <c r="G92" i="3"/>
  <c r="H92" i="3" s="1"/>
  <c r="G180" i="3"/>
  <c r="H180" i="3" s="1"/>
  <c r="G164" i="3"/>
  <c r="H164" i="3" s="1"/>
  <c r="G160" i="3"/>
  <c r="H160" i="3" s="1"/>
  <c r="G159" i="3"/>
  <c r="H159" i="3" s="1"/>
  <c r="G155" i="3"/>
  <c r="H155" i="3" s="1"/>
  <c r="G124" i="3"/>
  <c r="H124" i="3" s="1"/>
  <c r="G100" i="3"/>
  <c r="H100" i="3" s="1"/>
  <c r="D80" i="3"/>
  <c r="G80" i="3" s="1"/>
  <c r="H80" i="3" s="1"/>
  <c r="D79" i="3"/>
  <c r="G79" i="3" s="1"/>
  <c r="H79" i="3" s="1"/>
  <c r="D78" i="3"/>
  <c r="G78" i="3" s="1"/>
  <c r="H78" i="3" s="1"/>
  <c r="I78" i="3" s="1"/>
  <c r="D77" i="3"/>
  <c r="G77" i="3" s="1"/>
  <c r="H77" i="3" s="1"/>
  <c r="D76" i="3"/>
  <c r="G76" i="3" s="1"/>
  <c r="H76" i="3" s="1"/>
  <c r="D75" i="3"/>
  <c r="G75" i="3" s="1"/>
  <c r="H75" i="3" s="1"/>
  <c r="D74" i="3"/>
  <c r="G74" i="3" s="1"/>
  <c r="H74" i="3" s="1"/>
  <c r="D73" i="3"/>
  <c r="G73" i="3" s="1"/>
  <c r="H73" i="3" s="1"/>
  <c r="D72" i="3"/>
  <c r="G72" i="3" s="1"/>
  <c r="H72" i="3" s="1"/>
  <c r="D71" i="3"/>
  <c r="G71" i="3" s="1"/>
  <c r="H71" i="3" s="1"/>
  <c r="D70" i="3"/>
  <c r="G70" i="3" s="1"/>
  <c r="H70" i="3" s="1"/>
  <c r="D69" i="3"/>
  <c r="G69" i="3" s="1"/>
  <c r="H69" i="3" s="1"/>
  <c r="D68" i="3"/>
  <c r="G68" i="3" s="1"/>
  <c r="H68" i="3" s="1"/>
  <c r="D67" i="3"/>
  <c r="G67" i="3" s="1"/>
  <c r="H67" i="3" s="1"/>
  <c r="D66" i="3"/>
  <c r="G66" i="3" s="1"/>
  <c r="H66" i="3" s="1"/>
  <c r="D65" i="3"/>
  <c r="G65" i="3" s="1"/>
  <c r="H65" i="3" s="1"/>
  <c r="D64" i="3"/>
  <c r="G64" i="3" s="1"/>
  <c r="H64" i="3" s="1"/>
  <c r="D63" i="3"/>
  <c r="G63" i="3" s="1"/>
  <c r="H63" i="3" s="1"/>
  <c r="I63" i="3" s="1"/>
  <c r="D62" i="3"/>
  <c r="G62" i="3" s="1"/>
  <c r="H62" i="3" s="1"/>
  <c r="D61" i="3"/>
  <c r="G61" i="3" s="1"/>
  <c r="H61" i="3" s="1"/>
  <c r="D60" i="3"/>
  <c r="G60" i="3" s="1"/>
  <c r="H60" i="3" s="1"/>
  <c r="D59" i="3"/>
  <c r="G59" i="3" s="1"/>
  <c r="H59" i="3" s="1"/>
  <c r="D58" i="3"/>
  <c r="G58" i="3" s="1"/>
  <c r="H58" i="3" s="1"/>
  <c r="D57" i="3"/>
  <c r="G57" i="3" s="1"/>
  <c r="H57" i="3" s="1"/>
  <c r="D56" i="3"/>
  <c r="G56" i="3" s="1"/>
  <c r="H56" i="3" s="1"/>
  <c r="D55" i="3"/>
  <c r="G55" i="3" s="1"/>
  <c r="H55" i="3" s="1"/>
  <c r="D54" i="3"/>
  <c r="G54" i="3" s="1"/>
  <c r="H54" i="3" s="1"/>
  <c r="D53" i="3"/>
  <c r="G53" i="3" s="1"/>
  <c r="H53" i="3" s="1"/>
  <c r="I53" i="3" s="1"/>
  <c r="D52" i="3"/>
  <c r="G52" i="3" s="1"/>
  <c r="H52" i="3" s="1"/>
  <c r="I52" i="3" s="1"/>
  <c r="D51" i="3"/>
  <c r="G51" i="3" s="1"/>
  <c r="H51" i="3" s="1"/>
  <c r="D50" i="3"/>
  <c r="G50" i="3" s="1"/>
  <c r="H50" i="3" s="1"/>
  <c r="D49" i="3"/>
  <c r="G49" i="3" s="1"/>
  <c r="H49" i="3" s="1"/>
  <c r="I49" i="3" s="1"/>
  <c r="D48" i="3"/>
  <c r="G48" i="3" s="1"/>
  <c r="H48" i="3" s="1"/>
  <c r="D47" i="3"/>
  <c r="G47" i="3" s="1"/>
  <c r="H47" i="3" s="1"/>
  <c r="D46" i="3"/>
  <c r="G46" i="3" s="1"/>
  <c r="H46" i="3" s="1"/>
  <c r="D45" i="3"/>
  <c r="G45" i="3" s="1"/>
  <c r="H45" i="3" s="1"/>
  <c r="D44" i="3"/>
  <c r="G44" i="3" s="1"/>
  <c r="H44" i="3" s="1"/>
  <c r="D43" i="3"/>
  <c r="G43" i="3" s="1"/>
  <c r="H43" i="3" s="1"/>
  <c r="D42" i="3"/>
  <c r="G42" i="3" s="1"/>
  <c r="H42" i="3" s="1"/>
  <c r="D41" i="3"/>
  <c r="G41" i="3" s="1"/>
  <c r="H41" i="3" s="1"/>
  <c r="D40" i="3"/>
  <c r="G40" i="3" s="1"/>
  <c r="H40" i="3" s="1"/>
  <c r="I40" i="3" s="1"/>
  <c r="D39" i="3"/>
  <c r="G39" i="3" s="1"/>
  <c r="H39" i="3" s="1"/>
  <c r="D38" i="3"/>
  <c r="G38" i="3" s="1"/>
  <c r="H38" i="3" s="1"/>
  <c r="D37" i="3"/>
  <c r="G37" i="3" s="1"/>
  <c r="H37" i="3" s="1"/>
  <c r="D36" i="3"/>
  <c r="G36" i="3" s="1"/>
  <c r="H36" i="3" s="1"/>
  <c r="D35" i="3"/>
  <c r="G35" i="3" s="1"/>
  <c r="H35" i="3" s="1"/>
  <c r="D34" i="3"/>
  <c r="G34" i="3" s="1"/>
  <c r="H34" i="3" s="1"/>
  <c r="D33" i="3"/>
  <c r="G33" i="3" s="1"/>
  <c r="H33" i="3" s="1"/>
  <c r="I33" i="3" s="1"/>
  <c r="D32" i="3"/>
  <c r="G32" i="3" s="1"/>
  <c r="H32" i="3" s="1"/>
  <c r="D31" i="3"/>
  <c r="G31" i="3" s="1"/>
  <c r="H31" i="3" s="1"/>
  <c r="D30" i="3"/>
  <c r="G30" i="3" s="1"/>
  <c r="H30" i="3" s="1"/>
  <c r="D29" i="3"/>
  <c r="G29" i="3" s="1"/>
  <c r="H29" i="3" s="1"/>
  <c r="D28" i="3"/>
  <c r="G28" i="3" s="1"/>
  <c r="H28" i="3" s="1"/>
  <c r="D27" i="3"/>
  <c r="G27" i="3" s="1"/>
  <c r="H27" i="3" s="1"/>
  <c r="D26" i="3"/>
  <c r="D25" i="3"/>
  <c r="G25" i="3" s="1"/>
  <c r="H25" i="3" s="1"/>
  <c r="D24" i="3"/>
  <c r="G24" i="3" s="1"/>
  <c r="H24" i="3" s="1"/>
  <c r="D23" i="3"/>
  <c r="G23" i="3" s="1"/>
  <c r="H23" i="3" s="1"/>
  <c r="D22" i="3"/>
  <c r="G22" i="3" s="1"/>
  <c r="H22" i="3" s="1"/>
  <c r="D204" i="2"/>
  <c r="G204" i="2" s="1"/>
  <c r="H204" i="2" s="1"/>
  <c r="I204" i="2" s="1"/>
  <c r="D205" i="2"/>
  <c r="G205" i="2" s="1"/>
  <c r="H205" i="2" s="1"/>
  <c r="D206" i="2"/>
  <c r="G206" i="2" s="1"/>
  <c r="H206" i="2" s="1"/>
  <c r="D207" i="2"/>
  <c r="G207" i="2" s="1"/>
  <c r="H207" i="2" s="1"/>
  <c r="I207" i="2" s="1"/>
  <c r="D208" i="2"/>
  <c r="G208" i="2" s="1"/>
  <c r="H208" i="2" s="1"/>
  <c r="D209" i="2"/>
  <c r="G209" i="2" s="1"/>
  <c r="H209" i="2" s="1"/>
  <c r="D210" i="2"/>
  <c r="G210" i="2" s="1"/>
  <c r="H210" i="2" s="1"/>
  <c r="D211" i="2"/>
  <c r="G211" i="2" s="1"/>
  <c r="H211" i="2" s="1"/>
  <c r="D212" i="2"/>
  <c r="G212" i="2" s="1"/>
  <c r="H212" i="2" s="1"/>
  <c r="I212" i="2" s="1"/>
  <c r="D213" i="2"/>
  <c r="G213" i="2" s="1"/>
  <c r="H213" i="2" s="1"/>
  <c r="D214" i="2"/>
  <c r="G214" i="2" s="1"/>
  <c r="H214" i="2" s="1"/>
  <c r="D203" i="2"/>
  <c r="G203" i="2" s="1"/>
  <c r="H203" i="2" s="1"/>
  <c r="D192" i="2"/>
  <c r="G192" i="2" s="1"/>
  <c r="H192" i="2" s="1"/>
  <c r="I192" i="2" s="1"/>
  <c r="D193" i="2"/>
  <c r="G193" i="2" s="1"/>
  <c r="H193" i="2" s="1"/>
  <c r="D194" i="2"/>
  <c r="G194" i="2" s="1"/>
  <c r="H194" i="2" s="1"/>
  <c r="I194" i="2" s="1"/>
  <c r="D195" i="2"/>
  <c r="G195" i="2" s="1"/>
  <c r="H195" i="2" s="1"/>
  <c r="D196" i="2"/>
  <c r="G196" i="2" s="1"/>
  <c r="H196" i="2" s="1"/>
  <c r="D197" i="2"/>
  <c r="G197" i="2" s="1"/>
  <c r="H197" i="2" s="1"/>
  <c r="D198" i="2"/>
  <c r="G198" i="2" s="1"/>
  <c r="H198" i="2" s="1"/>
  <c r="D199" i="2"/>
  <c r="G199" i="2" s="1"/>
  <c r="H199" i="2" s="1"/>
  <c r="I199" i="2" s="1"/>
  <c r="D200" i="2"/>
  <c r="G200" i="2" s="1"/>
  <c r="H200" i="2" s="1"/>
  <c r="D201" i="2"/>
  <c r="G201" i="2" s="1"/>
  <c r="H201" i="2" s="1"/>
  <c r="D202" i="2"/>
  <c r="G202" i="2" s="1"/>
  <c r="H202" i="2" s="1"/>
  <c r="D191" i="2"/>
  <c r="D180" i="2"/>
  <c r="G180" i="2" s="1"/>
  <c r="H180" i="2" s="1"/>
  <c r="D181" i="2"/>
  <c r="G181" i="2" s="1"/>
  <c r="H181" i="2" s="1"/>
  <c r="I181" i="2" s="1"/>
  <c r="D182" i="2"/>
  <c r="G182" i="2" s="1"/>
  <c r="H182" i="2" s="1"/>
  <c r="D183" i="2"/>
  <c r="G183" i="2" s="1"/>
  <c r="H183" i="2" s="1"/>
  <c r="D184" i="2"/>
  <c r="G184" i="2" s="1"/>
  <c r="H184" i="2" s="1"/>
  <c r="I184" i="2" s="1"/>
  <c r="D185" i="2"/>
  <c r="G185" i="2" s="1"/>
  <c r="H185" i="2" s="1"/>
  <c r="I185" i="2" s="1"/>
  <c r="D186" i="2"/>
  <c r="G186" i="2" s="1"/>
  <c r="H186" i="2" s="1"/>
  <c r="D187" i="2"/>
  <c r="G187" i="2" s="1"/>
  <c r="H187" i="2" s="1"/>
  <c r="D188" i="2"/>
  <c r="G188" i="2" s="1"/>
  <c r="H188" i="2" s="1"/>
  <c r="I188" i="2" s="1"/>
  <c r="D189" i="2"/>
  <c r="G189" i="2" s="1"/>
  <c r="H189" i="2" s="1"/>
  <c r="D190" i="2"/>
  <c r="G190" i="2" s="1"/>
  <c r="H190" i="2" s="1"/>
  <c r="D179" i="2"/>
  <c r="G179" i="2" s="1"/>
  <c r="H179" i="2" s="1"/>
  <c r="D168" i="2"/>
  <c r="G168" i="2" s="1"/>
  <c r="H168" i="2" s="1"/>
  <c r="D169" i="2"/>
  <c r="G169" i="2" s="1"/>
  <c r="H169" i="2" s="1"/>
  <c r="D170" i="2"/>
  <c r="G170" i="2" s="1"/>
  <c r="H170" i="2" s="1"/>
  <c r="D171" i="2"/>
  <c r="G171" i="2" s="1"/>
  <c r="H171" i="2" s="1"/>
  <c r="D172" i="2"/>
  <c r="G172" i="2" s="1"/>
  <c r="H172" i="2" s="1"/>
  <c r="I172" i="2" s="1"/>
  <c r="D173" i="2"/>
  <c r="G173" i="2" s="1"/>
  <c r="H173" i="2" s="1"/>
  <c r="D174" i="2"/>
  <c r="G174" i="2" s="1"/>
  <c r="H174" i="2" s="1"/>
  <c r="I174" i="2" s="1"/>
  <c r="D175" i="2"/>
  <c r="G175" i="2" s="1"/>
  <c r="H175" i="2" s="1"/>
  <c r="D176" i="2"/>
  <c r="G176" i="2" s="1"/>
  <c r="H176" i="2" s="1"/>
  <c r="D177" i="2"/>
  <c r="G177" i="2" s="1"/>
  <c r="H177" i="2" s="1"/>
  <c r="D178" i="2"/>
  <c r="G178" i="2" s="1"/>
  <c r="H178" i="2" s="1"/>
  <c r="I178" i="2" s="1"/>
  <c r="D167" i="2"/>
  <c r="G167" i="2" s="1"/>
  <c r="H167" i="2" s="1"/>
  <c r="D156" i="2"/>
  <c r="G156" i="2" s="1"/>
  <c r="H156" i="2" s="1"/>
  <c r="I156" i="2" s="1"/>
  <c r="D157" i="2"/>
  <c r="G157" i="2" s="1"/>
  <c r="H157" i="2" s="1"/>
  <c r="D158" i="2"/>
  <c r="G158" i="2" s="1"/>
  <c r="H158" i="2" s="1"/>
  <c r="I158" i="2" s="1"/>
  <c r="D159" i="2"/>
  <c r="G159" i="2" s="1"/>
  <c r="H159" i="2" s="1"/>
  <c r="D160" i="2"/>
  <c r="G160" i="2" s="1"/>
  <c r="H160" i="2" s="1"/>
  <c r="D161" i="2"/>
  <c r="G161" i="2" s="1"/>
  <c r="H161" i="2" s="1"/>
  <c r="I161" i="2" s="1"/>
  <c r="D162" i="2"/>
  <c r="G162" i="2" s="1"/>
  <c r="H162" i="2" s="1"/>
  <c r="D163" i="2"/>
  <c r="G163" i="2" s="1"/>
  <c r="H163" i="2" s="1"/>
  <c r="D164" i="2"/>
  <c r="G164" i="2" s="1"/>
  <c r="H164" i="2" s="1"/>
  <c r="I164" i="2" s="1"/>
  <c r="D165" i="2"/>
  <c r="G165" i="2" s="1"/>
  <c r="H165" i="2" s="1"/>
  <c r="D166" i="2"/>
  <c r="G166" i="2" s="1"/>
  <c r="H166" i="2" s="1"/>
  <c r="D155" i="2"/>
  <c r="G155" i="2" s="1"/>
  <c r="H155" i="2" s="1"/>
  <c r="I155" i="2" s="1"/>
  <c r="D143" i="2"/>
  <c r="G143" i="2" s="1"/>
  <c r="H143" i="2" s="1"/>
  <c r="D144" i="2"/>
  <c r="G144" i="2" s="1"/>
  <c r="H144" i="2" s="1"/>
  <c r="D145" i="2"/>
  <c r="G145" i="2" s="1"/>
  <c r="H145" i="2" s="1"/>
  <c r="D146" i="2"/>
  <c r="G146" i="2" s="1"/>
  <c r="H146" i="2" s="1"/>
  <c r="D147" i="2"/>
  <c r="G147" i="2" s="1"/>
  <c r="H147" i="2" s="1"/>
  <c r="D148" i="2"/>
  <c r="G148" i="2" s="1"/>
  <c r="H148" i="2" s="1"/>
  <c r="D149" i="2"/>
  <c r="G149" i="2" s="1"/>
  <c r="H149" i="2" s="1"/>
  <c r="D150" i="2"/>
  <c r="G150" i="2" s="1"/>
  <c r="H150" i="2" s="1"/>
  <c r="I150" i="2" s="1"/>
  <c r="D151" i="2"/>
  <c r="G151" i="2" s="1"/>
  <c r="H151" i="2" s="1"/>
  <c r="D152" i="2"/>
  <c r="G152" i="2" s="1"/>
  <c r="H152" i="2" s="1"/>
  <c r="I152" i="2" s="1"/>
  <c r="D153" i="2"/>
  <c r="G153" i="2" s="1"/>
  <c r="H153" i="2" s="1"/>
  <c r="D154" i="2"/>
  <c r="G154" i="2" s="1"/>
  <c r="H154" i="2" s="1"/>
  <c r="D132" i="2"/>
  <c r="G132" i="2" s="1"/>
  <c r="H132" i="2" s="1"/>
  <c r="D133" i="2"/>
  <c r="G133" i="2" s="1"/>
  <c r="H133" i="2" s="1"/>
  <c r="D134" i="2"/>
  <c r="G134" i="2" s="1"/>
  <c r="H134" i="2" s="1"/>
  <c r="D135" i="2"/>
  <c r="G135" i="2" s="1"/>
  <c r="H135" i="2" s="1"/>
  <c r="D136" i="2"/>
  <c r="G136" i="2" s="1"/>
  <c r="H136" i="2" s="1"/>
  <c r="D137" i="2"/>
  <c r="G137" i="2" s="1"/>
  <c r="H137" i="2" s="1"/>
  <c r="D138" i="2"/>
  <c r="G138" i="2" s="1"/>
  <c r="H138" i="2" s="1"/>
  <c r="D139" i="2"/>
  <c r="G139" i="2" s="1"/>
  <c r="H139" i="2" s="1"/>
  <c r="D140" i="2"/>
  <c r="G140" i="2" s="1"/>
  <c r="H140" i="2" s="1"/>
  <c r="D141" i="2"/>
  <c r="G141" i="2" s="1"/>
  <c r="H141" i="2" s="1"/>
  <c r="I141" i="2" s="1"/>
  <c r="D142" i="2"/>
  <c r="D131" i="2"/>
  <c r="G131" i="2" s="1"/>
  <c r="H131" i="2" s="1"/>
  <c r="I131" i="2" s="1"/>
  <c r="D127" i="2"/>
  <c r="G127" i="2" s="1"/>
  <c r="H127" i="2" s="1"/>
  <c r="D128" i="2"/>
  <c r="G128" i="2" s="1"/>
  <c r="H128" i="2" s="1"/>
  <c r="I128" i="2" s="1"/>
  <c r="D129" i="2"/>
  <c r="G129" i="2" s="1"/>
  <c r="H129" i="2" s="1"/>
  <c r="D130" i="2"/>
  <c r="G130" i="2" s="1"/>
  <c r="H130" i="2" s="1"/>
  <c r="D120" i="2"/>
  <c r="D121" i="2"/>
  <c r="G121" i="2" s="1"/>
  <c r="H121" i="2" s="1"/>
  <c r="I121" i="2" s="1"/>
  <c r="D122" i="2"/>
  <c r="G122" i="2" s="1"/>
  <c r="H122" i="2" s="1"/>
  <c r="D123" i="2"/>
  <c r="G123" i="2" s="1"/>
  <c r="H123" i="2" s="1"/>
  <c r="I123" i="2" s="1"/>
  <c r="D124" i="2"/>
  <c r="D125" i="2"/>
  <c r="G125" i="2" s="1"/>
  <c r="H125" i="2" s="1"/>
  <c r="I125" i="2" s="1"/>
  <c r="D126" i="2"/>
  <c r="G126" i="2" s="1"/>
  <c r="H126" i="2" s="1"/>
  <c r="D119" i="2"/>
  <c r="G119" i="2" s="1"/>
  <c r="H119" i="2" s="1"/>
  <c r="D108" i="2"/>
  <c r="G108" i="2" s="1"/>
  <c r="H108" i="2" s="1"/>
  <c r="D109" i="2"/>
  <c r="G109" i="2" s="1"/>
  <c r="H109" i="2" s="1"/>
  <c r="I109" i="2" s="1"/>
  <c r="D110" i="2"/>
  <c r="G110" i="2" s="1"/>
  <c r="H110" i="2" s="1"/>
  <c r="I110" i="2" s="1"/>
  <c r="D111" i="2"/>
  <c r="G111" i="2" s="1"/>
  <c r="H111" i="2" s="1"/>
  <c r="D112" i="2"/>
  <c r="G112" i="2" s="1"/>
  <c r="H112" i="2" s="1"/>
  <c r="I112" i="2" s="1"/>
  <c r="D113" i="2"/>
  <c r="G113" i="2" s="1"/>
  <c r="H113" i="2" s="1"/>
  <c r="D114" i="2"/>
  <c r="G114" i="2" s="1"/>
  <c r="H114" i="2" s="1"/>
  <c r="I114" i="2" s="1"/>
  <c r="D115" i="2"/>
  <c r="G115" i="2" s="1"/>
  <c r="H115" i="2" s="1"/>
  <c r="I115" i="2" s="1"/>
  <c r="D116" i="2"/>
  <c r="G116" i="2" s="1"/>
  <c r="H116" i="2" s="1"/>
  <c r="D117" i="2"/>
  <c r="G117" i="2" s="1"/>
  <c r="H117" i="2" s="1"/>
  <c r="D118" i="2"/>
  <c r="G118" i="2" s="1"/>
  <c r="H118" i="2" s="1"/>
  <c r="D107" i="2"/>
  <c r="G107" i="2" s="1"/>
  <c r="H107" i="2" s="1"/>
  <c r="I107" i="2" s="1"/>
  <c r="D95" i="2"/>
  <c r="G95" i="2" s="1"/>
  <c r="H95" i="2" s="1"/>
  <c r="D96" i="2"/>
  <c r="G96" i="2" s="1"/>
  <c r="H96" i="2" s="1"/>
  <c r="I96" i="2" s="1"/>
  <c r="D97" i="2"/>
  <c r="G97" i="2" s="1"/>
  <c r="H97" i="2" s="1"/>
  <c r="D98" i="2"/>
  <c r="G98" i="2" s="1"/>
  <c r="H98" i="2" s="1"/>
  <c r="D99" i="2"/>
  <c r="G99" i="2" s="1"/>
  <c r="H99" i="2" s="1"/>
  <c r="I99" i="2" s="1"/>
  <c r="D100" i="2"/>
  <c r="G100" i="2" s="1"/>
  <c r="H100" i="2" s="1"/>
  <c r="D101" i="2"/>
  <c r="G101" i="2" s="1"/>
  <c r="H101" i="2" s="1"/>
  <c r="I101" i="2" s="1"/>
  <c r="D102" i="2"/>
  <c r="G102" i="2" s="1"/>
  <c r="H102" i="2" s="1"/>
  <c r="D103" i="2"/>
  <c r="G103" i="2" s="1"/>
  <c r="H103" i="2" s="1"/>
  <c r="I103" i="2" s="1"/>
  <c r="D104" i="2"/>
  <c r="G104" i="2" s="1"/>
  <c r="H104" i="2" s="1"/>
  <c r="D105" i="2"/>
  <c r="G105" i="2" s="1"/>
  <c r="H105" i="2" s="1"/>
  <c r="I105" i="2" s="1"/>
  <c r="D106" i="2"/>
  <c r="G106" i="2" s="1"/>
  <c r="H106" i="2" s="1"/>
  <c r="I106" i="2" s="1"/>
  <c r="D84" i="2"/>
  <c r="G84" i="2" s="1"/>
  <c r="H84" i="2" s="1"/>
  <c r="D85" i="2"/>
  <c r="G85" i="2" s="1"/>
  <c r="H85" i="2" s="1"/>
  <c r="D86" i="2"/>
  <c r="G86" i="2" s="1"/>
  <c r="H86" i="2" s="1"/>
  <c r="D87" i="2"/>
  <c r="G87" i="2" s="1"/>
  <c r="H87" i="2" s="1"/>
  <c r="D88" i="2"/>
  <c r="G88" i="2" s="1"/>
  <c r="H88" i="2" s="1"/>
  <c r="D89" i="2"/>
  <c r="G89" i="2" s="1"/>
  <c r="H89" i="2" s="1"/>
  <c r="D90" i="2"/>
  <c r="G90" i="2" s="1"/>
  <c r="H90" i="2" s="1"/>
  <c r="D91" i="2"/>
  <c r="G91" i="2" s="1"/>
  <c r="H91" i="2" s="1"/>
  <c r="D92" i="2"/>
  <c r="G92" i="2" s="1"/>
  <c r="H92" i="2" s="1"/>
  <c r="I92" i="2" s="1"/>
  <c r="D93" i="2"/>
  <c r="G93" i="2" s="1"/>
  <c r="H93" i="2" s="1"/>
  <c r="I93" i="2" s="1"/>
  <c r="D94" i="2"/>
  <c r="G94" i="2" s="1"/>
  <c r="H94" i="2" s="1"/>
  <c r="D83" i="2"/>
  <c r="G83" i="2" s="1"/>
  <c r="H83" i="2" s="1"/>
  <c r="D72" i="2"/>
  <c r="G72" i="2" s="1"/>
  <c r="H72" i="2" s="1"/>
  <c r="I72" i="2" s="1"/>
  <c r="D73" i="2"/>
  <c r="G73" i="2" s="1"/>
  <c r="H73" i="2" s="1"/>
  <c r="D74" i="2"/>
  <c r="G74" i="2" s="1"/>
  <c r="H74" i="2" s="1"/>
  <c r="D75" i="2"/>
  <c r="G75" i="2" s="1"/>
  <c r="H75" i="2" s="1"/>
  <c r="D76" i="2"/>
  <c r="G76" i="2" s="1"/>
  <c r="H76" i="2" s="1"/>
  <c r="I76" i="2" s="1"/>
  <c r="D77" i="2"/>
  <c r="G77" i="2" s="1"/>
  <c r="H77" i="2" s="1"/>
  <c r="D78" i="2"/>
  <c r="G78" i="2" s="1"/>
  <c r="H78" i="2" s="1"/>
  <c r="D79" i="2"/>
  <c r="G79" i="2" s="1"/>
  <c r="H79" i="2" s="1"/>
  <c r="D80" i="2"/>
  <c r="G80" i="2" s="1"/>
  <c r="H80" i="2" s="1"/>
  <c r="I80" i="2" s="1"/>
  <c r="D81" i="2"/>
  <c r="G81" i="2" s="1"/>
  <c r="H81" i="2" s="1"/>
  <c r="I81" i="2" s="1"/>
  <c r="D82" i="2"/>
  <c r="G82" i="2" s="1"/>
  <c r="H82" i="2" s="1"/>
  <c r="D71" i="2"/>
  <c r="G71" i="2" s="1"/>
  <c r="H71" i="2" s="1"/>
  <c r="D60" i="2"/>
  <c r="G60" i="2" s="1"/>
  <c r="H60" i="2" s="1"/>
  <c r="D61" i="2"/>
  <c r="G61" i="2" s="1"/>
  <c r="H61" i="2" s="1"/>
  <c r="I61" i="2" s="1"/>
  <c r="D62" i="2"/>
  <c r="G62" i="2" s="1"/>
  <c r="H62" i="2" s="1"/>
  <c r="D63" i="2"/>
  <c r="G63" i="2" s="1"/>
  <c r="H63" i="2" s="1"/>
  <c r="I63" i="2" s="1"/>
  <c r="D64" i="2"/>
  <c r="G64" i="2" s="1"/>
  <c r="H64" i="2" s="1"/>
  <c r="D65" i="2"/>
  <c r="G65" i="2" s="1"/>
  <c r="H65" i="2" s="1"/>
  <c r="D66" i="2"/>
  <c r="D67" i="2"/>
  <c r="D68" i="2"/>
  <c r="G68" i="2" s="1"/>
  <c r="H68" i="2" s="1"/>
  <c r="I68" i="2" s="1"/>
  <c r="D69" i="2"/>
  <c r="G69" i="2" s="1"/>
  <c r="H69" i="2" s="1"/>
  <c r="I69" i="2" s="1"/>
  <c r="D70" i="2"/>
  <c r="G70" i="2" s="1"/>
  <c r="H70" i="2" s="1"/>
  <c r="D59" i="2"/>
  <c r="G59" i="2" s="1"/>
  <c r="H59" i="2" s="1"/>
  <c r="I59" i="2" s="1"/>
  <c r="D58" i="2"/>
  <c r="G58" i="2" s="1"/>
  <c r="H58" i="2" s="1"/>
  <c r="D54" i="2"/>
  <c r="G54" i="2" s="1"/>
  <c r="H54" i="2" s="1"/>
  <c r="D55" i="2"/>
  <c r="G55" i="2" s="1"/>
  <c r="H55" i="2" s="1"/>
  <c r="D56" i="2"/>
  <c r="G56" i="2" s="1"/>
  <c r="H56" i="2" s="1"/>
  <c r="I56" i="2" s="1"/>
  <c r="D57" i="2"/>
  <c r="G57" i="2" s="1"/>
  <c r="H57" i="2" s="1"/>
  <c r="I57" i="2" s="1"/>
  <c r="D48" i="2"/>
  <c r="G48" i="2" s="1"/>
  <c r="H48" i="2" s="1"/>
  <c r="I48" i="2" s="1"/>
  <c r="D49" i="2"/>
  <c r="G49" i="2" s="1"/>
  <c r="H49" i="2" s="1"/>
  <c r="D50" i="2"/>
  <c r="G50" i="2" s="1"/>
  <c r="H50" i="2" s="1"/>
  <c r="D51" i="2"/>
  <c r="G51" i="2" s="1"/>
  <c r="H51" i="2" s="1"/>
  <c r="D52" i="2"/>
  <c r="G52" i="2" s="1"/>
  <c r="H52" i="2" s="1"/>
  <c r="D53" i="2"/>
  <c r="D47" i="2"/>
  <c r="G47" i="2" s="1"/>
  <c r="H47" i="2" s="1"/>
  <c r="I47" i="2" s="1"/>
  <c r="G53" i="2"/>
  <c r="H53" i="2" s="1"/>
  <c r="G66" i="2"/>
  <c r="H66" i="2" s="1"/>
  <c r="G67" i="2"/>
  <c r="H67" i="2" s="1"/>
  <c r="G120" i="2"/>
  <c r="H120" i="2" s="1"/>
  <c r="G124" i="2"/>
  <c r="H124" i="2" s="1"/>
  <c r="G142" i="2"/>
  <c r="H142" i="2" s="1"/>
  <c r="G191" i="2"/>
  <c r="H191" i="2" s="1"/>
  <c r="S1" i="2"/>
  <c r="D18" i="2"/>
  <c r="E18" i="2"/>
  <c r="F18" i="2"/>
  <c r="F19" i="2" s="1"/>
  <c r="G18" i="2"/>
  <c r="G19" i="2" s="1"/>
  <c r="H18" i="2"/>
  <c r="I18" i="2"/>
  <c r="J18" i="2"/>
  <c r="K18" i="2"/>
  <c r="L18" i="2"/>
  <c r="M18" i="2"/>
  <c r="N18" i="2"/>
  <c r="C18" i="2"/>
  <c r="O3" i="2"/>
  <c r="O4" i="2"/>
  <c r="O5" i="2"/>
  <c r="O6" i="2"/>
  <c r="O7" i="2"/>
  <c r="O8" i="2"/>
  <c r="O9" i="2"/>
  <c r="O10" i="2"/>
  <c r="P10" i="2" s="1"/>
  <c r="O11" i="2"/>
  <c r="O12" i="2"/>
  <c r="O13" i="2"/>
  <c r="O14" i="2"/>
  <c r="O15" i="2"/>
  <c r="O16" i="2"/>
  <c r="O17" i="2"/>
  <c r="O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C19" i="1"/>
  <c r="D19" i="1"/>
  <c r="E19" i="1"/>
  <c r="F19" i="1"/>
  <c r="G19" i="1"/>
  <c r="H19" i="1"/>
  <c r="I19" i="1"/>
  <c r="J19" i="1"/>
  <c r="K19" i="1"/>
  <c r="L19" i="1"/>
  <c r="M19" i="1"/>
  <c r="B19" i="1"/>
  <c r="E19" i="2" l="1"/>
  <c r="P9" i="2"/>
  <c r="P8" i="2"/>
  <c r="P12" i="2"/>
  <c r="I19" i="2"/>
  <c r="P11" i="2"/>
  <c r="H19" i="2"/>
  <c r="P5" i="2"/>
  <c r="P7" i="2"/>
  <c r="P6" i="2"/>
  <c r="P2" i="2"/>
  <c r="D23" i="2" s="1"/>
  <c r="D19" i="2"/>
  <c r="C19" i="2"/>
  <c r="P17" i="2"/>
  <c r="P16" i="2"/>
  <c r="M19" i="2"/>
  <c r="P15" i="2"/>
  <c r="L19" i="2"/>
  <c r="N19" i="2"/>
  <c r="P14" i="2"/>
  <c r="K19" i="2"/>
  <c r="P13" i="2"/>
  <c r="J19" i="2"/>
  <c r="P4" i="2"/>
  <c r="P3" i="2"/>
  <c r="D38" i="2" l="1"/>
  <c r="G38" i="2" s="1"/>
  <c r="H38" i="2" s="1"/>
  <c r="I38" i="2" s="1"/>
  <c r="D39" i="2"/>
  <c r="G39" i="2" s="1"/>
  <c r="H39" i="2" s="1"/>
  <c r="D40" i="2"/>
  <c r="G40" i="2" s="1"/>
  <c r="H40" i="2" s="1"/>
  <c r="I40" i="2" s="1"/>
  <c r="D41" i="2"/>
  <c r="G41" i="2" s="1"/>
  <c r="H41" i="2" s="1"/>
  <c r="D44" i="2"/>
  <c r="G44" i="2" s="1"/>
  <c r="H44" i="2" s="1"/>
  <c r="D45" i="2"/>
  <c r="G45" i="2" s="1"/>
  <c r="H45" i="2" s="1"/>
  <c r="D46" i="2"/>
  <c r="G46" i="2" s="1"/>
  <c r="H46" i="2" s="1"/>
  <c r="I46" i="2" s="1"/>
  <c r="D42" i="2"/>
  <c r="G42" i="2" s="1"/>
  <c r="H42" i="2" s="1"/>
  <c r="D35" i="2"/>
  <c r="G35" i="2" s="1"/>
  <c r="H35" i="2" s="1"/>
  <c r="D37" i="2"/>
  <c r="G37" i="2" s="1"/>
  <c r="H37" i="2" s="1"/>
  <c r="D43" i="2"/>
  <c r="G43" i="2" s="1"/>
  <c r="H43" i="2" s="1"/>
  <c r="D36" i="2"/>
  <c r="G36" i="2" s="1"/>
  <c r="H36" i="2" s="1"/>
  <c r="I36" i="2" s="1"/>
  <c r="D29" i="2"/>
  <c r="G29" i="2" s="1"/>
  <c r="H29" i="2" s="1"/>
  <c r="D30" i="2"/>
  <c r="G30" i="2" s="1"/>
  <c r="H30" i="2" s="1"/>
  <c r="I30" i="2" s="1"/>
  <c r="D26" i="2"/>
  <c r="G26" i="2" s="1"/>
  <c r="H26" i="2" s="1"/>
  <c r="D28" i="2"/>
  <c r="G28" i="2" s="1"/>
  <c r="H28" i="2" s="1"/>
  <c r="D31" i="2"/>
  <c r="G31" i="2" s="1"/>
  <c r="H31" i="2" s="1"/>
  <c r="I31" i="2" s="1"/>
  <c r="D32" i="2"/>
  <c r="G32" i="2" s="1"/>
  <c r="H32" i="2" s="1"/>
  <c r="D25" i="2"/>
  <c r="G25" i="2" s="1"/>
  <c r="H25" i="2" s="1"/>
  <c r="I25" i="2" s="1"/>
  <c r="D33" i="2"/>
  <c r="G33" i="2" s="1"/>
  <c r="H33" i="2" s="1"/>
  <c r="D27" i="2"/>
  <c r="G27" i="2" s="1"/>
  <c r="H27" i="2" s="1"/>
  <c r="I27" i="2" s="1"/>
  <c r="D34" i="2"/>
  <c r="G34" i="2" s="1"/>
  <c r="H34" i="2" s="1"/>
  <c r="G23" i="2"/>
  <c r="H23" i="2" s="1"/>
  <c r="I23" i="2" s="1"/>
  <c r="D24" i="2"/>
  <c r="G24" i="2" s="1"/>
  <c r="H24" i="2" s="1"/>
  <c r="I216" i="2" l="1"/>
  <c r="J216" i="2" s="1"/>
  <c r="J217" i="2" s="1"/>
</calcChain>
</file>

<file path=xl/sharedStrings.xml><?xml version="1.0" encoding="utf-8"?>
<sst xmlns="http://schemas.openxmlformats.org/spreadsheetml/2006/main" count="872" uniqueCount="39">
  <si>
    <t>Carry On</t>
  </si>
  <si>
    <t>People We Meet on Vacation</t>
  </si>
  <si>
    <t>Fangirl</t>
  </si>
  <si>
    <t>Margot's Got Money Troubles</t>
  </si>
  <si>
    <t>Rosaline Palmer Takes the Cake</t>
  </si>
  <si>
    <t>Red, White, and Royal Blue</t>
  </si>
  <si>
    <t>Boyfriend Material</t>
  </si>
  <si>
    <t>Eleanor and Park</t>
  </si>
  <si>
    <t>The Charm Offensive</t>
  </si>
  <si>
    <t>Beach Read</t>
  </si>
  <si>
    <t>Anna and the French Kiss</t>
  </si>
  <si>
    <t>Attachments</t>
  </si>
  <si>
    <t>user 1</t>
  </si>
  <si>
    <t>user 2</t>
  </si>
  <si>
    <t>user 3</t>
  </si>
  <si>
    <t>user 4</t>
  </si>
  <si>
    <t>user 5</t>
  </si>
  <si>
    <t>user 6</t>
  </si>
  <si>
    <t>user 7</t>
  </si>
  <si>
    <t>user 8</t>
  </si>
  <si>
    <t>user 9</t>
  </si>
  <si>
    <t>user 10</t>
  </si>
  <si>
    <t>user 11</t>
  </si>
  <si>
    <t>user 12</t>
  </si>
  <si>
    <t>user 13</t>
  </si>
  <si>
    <t>user 14</t>
  </si>
  <si>
    <t>user 15</t>
  </si>
  <si>
    <t>user 16</t>
  </si>
  <si>
    <t>user 17</t>
  </si>
  <si>
    <t>Item averages</t>
  </si>
  <si>
    <t>user averages</t>
  </si>
  <si>
    <t>user bias</t>
  </si>
  <si>
    <t>book bias</t>
  </si>
  <si>
    <t>predicted score</t>
  </si>
  <si>
    <t>actual score</t>
  </si>
  <si>
    <t>error</t>
  </si>
  <si>
    <t>mean score</t>
  </si>
  <si>
    <t>predicted score (adj)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</si>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</sst>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0" fontId="16" fillId="33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CCFD-C1C0-4052-8622-4442C6D96A5B}">
  <dimension ref="A1:N19"/>
  <sheetViews>
    <sheetView workbookViewId="0">
      <selection activeCell="J7" sqref="J7"/>
    </sheetView>
  </sheetViews>
  <sheetFormatPr defaultRowHeight="14.5" x14ac:dyDescent="0.35"/>
  <cols>
    <col min="1" max="1" width="14.1796875" customWidth="1"/>
  </cols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30</v>
      </c>
    </row>
    <row r="2" spans="1:14" x14ac:dyDescent="0.35">
      <c r="A2" t="s">
        <v>12</v>
      </c>
      <c r="B2">
        <v>5</v>
      </c>
      <c r="D2">
        <v>4</v>
      </c>
      <c r="F2">
        <v>5</v>
      </c>
      <c r="I2">
        <v>4</v>
      </c>
      <c r="J2">
        <v>4</v>
      </c>
      <c r="M2">
        <v>3</v>
      </c>
      <c r="N2">
        <f>AVERAGE(B2:M2)</f>
        <v>4.166666666666667</v>
      </c>
    </row>
    <row r="3" spans="1:14" x14ac:dyDescent="0.35">
      <c r="A3" t="s">
        <v>13</v>
      </c>
      <c r="C3">
        <v>2</v>
      </c>
      <c r="E3">
        <v>3</v>
      </c>
      <c r="G3">
        <v>1</v>
      </c>
      <c r="H3">
        <v>3</v>
      </c>
      <c r="M3">
        <v>2</v>
      </c>
      <c r="N3">
        <f t="shared" ref="N3:N18" si="0">AVERAGE(B3:M3)</f>
        <v>2.2000000000000002</v>
      </c>
    </row>
    <row r="4" spans="1:14" x14ac:dyDescent="0.35">
      <c r="A4" t="s">
        <v>14</v>
      </c>
      <c r="B4">
        <v>3</v>
      </c>
      <c r="C4">
        <v>3</v>
      </c>
      <c r="E4">
        <v>4</v>
      </c>
      <c r="H4">
        <v>4</v>
      </c>
      <c r="I4">
        <v>4</v>
      </c>
      <c r="K4">
        <v>3</v>
      </c>
      <c r="L4">
        <v>4</v>
      </c>
      <c r="N4">
        <f t="shared" si="0"/>
        <v>3.5714285714285716</v>
      </c>
    </row>
    <row r="5" spans="1:14" x14ac:dyDescent="0.35">
      <c r="A5" t="s">
        <v>15</v>
      </c>
      <c r="B5">
        <v>4</v>
      </c>
      <c r="D5">
        <v>5</v>
      </c>
      <c r="F5">
        <v>4</v>
      </c>
      <c r="G5">
        <v>3</v>
      </c>
      <c r="K5">
        <v>4</v>
      </c>
      <c r="L5">
        <v>5</v>
      </c>
      <c r="N5">
        <f t="shared" si="0"/>
        <v>4.166666666666667</v>
      </c>
    </row>
    <row r="6" spans="1:14" x14ac:dyDescent="0.35">
      <c r="A6" t="s">
        <v>16</v>
      </c>
      <c r="C6">
        <v>1</v>
      </c>
      <c r="G6">
        <v>2</v>
      </c>
      <c r="J6">
        <v>2</v>
      </c>
      <c r="K6">
        <v>2</v>
      </c>
      <c r="L6">
        <v>3</v>
      </c>
      <c r="M6">
        <v>3</v>
      </c>
      <c r="N6">
        <f t="shared" si="0"/>
        <v>2.1666666666666665</v>
      </c>
    </row>
    <row r="7" spans="1:14" x14ac:dyDescent="0.35">
      <c r="A7" t="s">
        <v>17</v>
      </c>
      <c r="N7" t="e">
        <f t="shared" si="0"/>
        <v>#DIV/0!</v>
      </c>
    </row>
    <row r="8" spans="1:14" x14ac:dyDescent="0.35">
      <c r="A8" t="s">
        <v>18</v>
      </c>
      <c r="G8">
        <v>1</v>
      </c>
      <c r="K8">
        <v>1</v>
      </c>
      <c r="L8">
        <v>4</v>
      </c>
      <c r="N8">
        <f t="shared" si="0"/>
        <v>2</v>
      </c>
    </row>
    <row r="9" spans="1:14" x14ac:dyDescent="0.35">
      <c r="A9" t="s">
        <v>19</v>
      </c>
      <c r="C9">
        <v>3</v>
      </c>
      <c r="F9">
        <v>3</v>
      </c>
      <c r="H9">
        <v>3</v>
      </c>
      <c r="J9">
        <v>3</v>
      </c>
      <c r="L9">
        <v>3</v>
      </c>
      <c r="M9">
        <v>2</v>
      </c>
      <c r="N9">
        <f t="shared" si="0"/>
        <v>2.8333333333333335</v>
      </c>
    </row>
    <row r="10" spans="1:14" x14ac:dyDescent="0.35">
      <c r="A10" t="s">
        <v>20</v>
      </c>
      <c r="B10">
        <v>1</v>
      </c>
      <c r="D10">
        <v>2</v>
      </c>
      <c r="E10">
        <v>3</v>
      </c>
      <c r="G10">
        <v>2</v>
      </c>
      <c r="I10">
        <v>3</v>
      </c>
      <c r="J10">
        <v>2</v>
      </c>
      <c r="N10">
        <f t="shared" si="0"/>
        <v>2.1666666666666665</v>
      </c>
    </row>
    <row r="11" spans="1:14" x14ac:dyDescent="0.35">
      <c r="A11" t="s">
        <v>21</v>
      </c>
      <c r="C11">
        <v>1</v>
      </c>
      <c r="D11">
        <v>3</v>
      </c>
      <c r="F11">
        <v>2</v>
      </c>
      <c r="H11">
        <v>2</v>
      </c>
      <c r="K11">
        <v>1</v>
      </c>
      <c r="M11">
        <v>1</v>
      </c>
      <c r="N11">
        <f t="shared" si="0"/>
        <v>1.6666666666666667</v>
      </c>
    </row>
    <row r="12" spans="1:14" x14ac:dyDescent="0.35">
      <c r="A12" t="s">
        <v>22</v>
      </c>
      <c r="B12">
        <v>4</v>
      </c>
      <c r="G12">
        <v>4</v>
      </c>
      <c r="I12">
        <v>3</v>
      </c>
      <c r="L12">
        <v>3</v>
      </c>
      <c r="N12">
        <f t="shared" si="0"/>
        <v>3.5</v>
      </c>
    </row>
    <row r="13" spans="1:14" x14ac:dyDescent="0.35">
      <c r="A13" t="s">
        <v>23</v>
      </c>
      <c r="I13">
        <v>4</v>
      </c>
      <c r="K13">
        <v>3</v>
      </c>
      <c r="N13">
        <f t="shared" si="0"/>
        <v>3.5</v>
      </c>
    </row>
    <row r="14" spans="1:14" x14ac:dyDescent="0.35">
      <c r="A14" t="s">
        <v>24</v>
      </c>
      <c r="B14">
        <v>5</v>
      </c>
      <c r="C14">
        <v>3</v>
      </c>
      <c r="E14">
        <v>5</v>
      </c>
      <c r="H14">
        <v>5</v>
      </c>
      <c r="K14">
        <v>4</v>
      </c>
      <c r="N14">
        <f t="shared" si="0"/>
        <v>4.4000000000000004</v>
      </c>
    </row>
    <row r="15" spans="1:14" x14ac:dyDescent="0.35">
      <c r="A15" t="s">
        <v>25</v>
      </c>
      <c r="F15">
        <v>5</v>
      </c>
      <c r="G15">
        <v>3</v>
      </c>
      <c r="I15">
        <v>5</v>
      </c>
      <c r="L15">
        <v>5</v>
      </c>
      <c r="M15">
        <v>4</v>
      </c>
      <c r="N15">
        <f t="shared" si="0"/>
        <v>4.4000000000000004</v>
      </c>
    </row>
    <row r="16" spans="1:14" x14ac:dyDescent="0.35">
      <c r="A16" t="s">
        <v>26</v>
      </c>
      <c r="D16">
        <v>4</v>
      </c>
      <c r="G16">
        <v>2</v>
      </c>
      <c r="H16">
        <v>4</v>
      </c>
      <c r="I16">
        <v>2</v>
      </c>
      <c r="K16">
        <v>3</v>
      </c>
      <c r="N16">
        <f t="shared" si="0"/>
        <v>3</v>
      </c>
    </row>
    <row r="17" spans="1:14" x14ac:dyDescent="0.35">
      <c r="A17" t="s">
        <v>27</v>
      </c>
      <c r="C17">
        <v>4</v>
      </c>
      <c r="E17">
        <v>5</v>
      </c>
      <c r="J17">
        <v>4</v>
      </c>
      <c r="N17">
        <f t="shared" si="0"/>
        <v>4.333333333333333</v>
      </c>
    </row>
    <row r="18" spans="1:14" x14ac:dyDescent="0.35">
      <c r="A18" t="s">
        <v>28</v>
      </c>
      <c r="B18">
        <v>4</v>
      </c>
      <c r="E18">
        <v>4</v>
      </c>
      <c r="J18">
        <v>2</v>
      </c>
      <c r="N18">
        <f t="shared" si="0"/>
        <v>3.3333333333333335</v>
      </c>
    </row>
    <row r="19" spans="1:14" x14ac:dyDescent="0.35">
      <c r="A19" s="1" t="s">
        <v>29</v>
      </c>
      <c r="B19">
        <f>AVERAGE(B2:B18)</f>
        <v>3.7142857142857144</v>
      </c>
      <c r="C19">
        <f t="shared" ref="C19:M19" si="1">AVERAGE(C2:C18)</f>
        <v>2.4285714285714284</v>
      </c>
      <c r="D19">
        <f t="shared" si="1"/>
        <v>3.6</v>
      </c>
      <c r="E19">
        <f t="shared" si="1"/>
        <v>4</v>
      </c>
      <c r="F19">
        <f t="shared" si="1"/>
        <v>3.8</v>
      </c>
      <c r="G19">
        <f t="shared" si="1"/>
        <v>2.25</v>
      </c>
      <c r="H19">
        <f t="shared" si="1"/>
        <v>3.5</v>
      </c>
      <c r="I19">
        <f t="shared" si="1"/>
        <v>3.5714285714285716</v>
      </c>
      <c r="J19">
        <f t="shared" si="1"/>
        <v>2.8333333333333335</v>
      </c>
      <c r="K19">
        <f t="shared" si="1"/>
        <v>2.625</v>
      </c>
      <c r="L19">
        <f t="shared" si="1"/>
        <v>3.8571428571428572</v>
      </c>
      <c r="M19">
        <f t="shared" si="1"/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BD16-D003-4481-AE10-3578B1534DB7}">
  <dimension ref="A1:S217"/>
  <sheetViews>
    <sheetView topLeftCell="A132" workbookViewId="0">
      <selection activeCell="F214" sqref="F214"/>
    </sheetView>
  </sheetViews>
  <sheetFormatPr defaultRowHeight="14.5" x14ac:dyDescent="0.35"/>
  <cols>
    <col min="7" max="7" width="11.1796875" customWidth="1"/>
  </cols>
  <sheetData>
    <row r="1" spans="2:19" x14ac:dyDescent="0.3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P1" t="s">
        <v>31</v>
      </c>
      <c r="S1">
        <f>AVERAGE(C2:N17)</f>
        <v>3.225806451612903</v>
      </c>
    </row>
    <row r="2" spans="2:19" x14ac:dyDescent="0.35">
      <c r="B2" s="2" t="s">
        <v>12</v>
      </c>
      <c r="C2" s="2">
        <v>5</v>
      </c>
      <c r="E2" s="2">
        <v>4</v>
      </c>
      <c r="G2" s="2">
        <v>5</v>
      </c>
      <c r="J2" s="2">
        <v>4</v>
      </c>
      <c r="K2" s="2">
        <v>4</v>
      </c>
      <c r="O2">
        <f>AVERAGE(C2:N2)</f>
        <v>4.4000000000000004</v>
      </c>
      <c r="P2">
        <f>O2-$S$1</f>
        <v>1.1741935483870973</v>
      </c>
    </row>
    <row r="3" spans="2:19" x14ac:dyDescent="0.35">
      <c r="B3" t="s">
        <v>13</v>
      </c>
      <c r="D3" s="2">
        <v>2</v>
      </c>
      <c r="F3" s="2">
        <v>3</v>
      </c>
      <c r="H3" s="2">
        <v>1</v>
      </c>
      <c r="N3" s="2">
        <v>2</v>
      </c>
      <c r="O3">
        <f t="shared" ref="O3:O17" si="0">AVERAGE(C3:N3)</f>
        <v>2</v>
      </c>
      <c r="P3">
        <f>O3-$S$1</f>
        <v>-1.225806451612903</v>
      </c>
    </row>
    <row r="4" spans="2:19" x14ac:dyDescent="0.35">
      <c r="B4" t="s">
        <v>14</v>
      </c>
      <c r="C4" s="2">
        <v>3</v>
      </c>
      <c r="D4" s="2">
        <v>3</v>
      </c>
      <c r="L4" s="2">
        <v>3</v>
      </c>
      <c r="M4" s="2">
        <v>4</v>
      </c>
      <c r="O4">
        <f t="shared" si="0"/>
        <v>3.25</v>
      </c>
      <c r="P4">
        <f>O4-$S$1</f>
        <v>2.4193548387096975E-2</v>
      </c>
    </row>
    <row r="5" spans="2:19" x14ac:dyDescent="0.35">
      <c r="B5" t="s">
        <v>15</v>
      </c>
      <c r="C5" s="2">
        <v>4</v>
      </c>
      <c r="E5" s="2">
        <v>5</v>
      </c>
      <c r="G5" s="2">
        <v>4</v>
      </c>
      <c r="L5" s="2">
        <v>4</v>
      </c>
      <c r="M5" s="2">
        <v>5</v>
      </c>
      <c r="O5">
        <f t="shared" si="0"/>
        <v>4.4000000000000004</v>
      </c>
      <c r="P5">
        <f>O5-$S$1</f>
        <v>1.1741935483870973</v>
      </c>
    </row>
    <row r="6" spans="2:19" x14ac:dyDescent="0.35">
      <c r="B6" t="s">
        <v>16</v>
      </c>
      <c r="D6" s="2">
        <v>1</v>
      </c>
      <c r="H6" s="2">
        <v>2</v>
      </c>
      <c r="L6" s="2">
        <v>2</v>
      </c>
      <c r="M6" s="2">
        <v>3</v>
      </c>
      <c r="O6">
        <f t="shared" si="0"/>
        <v>2</v>
      </c>
      <c r="P6">
        <f>O6-$S$1</f>
        <v>-1.225806451612903</v>
      </c>
    </row>
    <row r="7" spans="2:19" x14ac:dyDescent="0.35">
      <c r="B7" t="s">
        <v>18</v>
      </c>
      <c r="L7" s="2">
        <v>1</v>
      </c>
      <c r="M7" s="2">
        <v>4</v>
      </c>
      <c r="O7">
        <f t="shared" si="0"/>
        <v>2.5</v>
      </c>
      <c r="P7">
        <f>O7-$S$1</f>
        <v>-0.72580645161290303</v>
      </c>
    </row>
    <row r="8" spans="2:19" x14ac:dyDescent="0.35">
      <c r="B8" t="s">
        <v>19</v>
      </c>
      <c r="D8" s="2">
        <v>3</v>
      </c>
      <c r="G8" s="2">
        <v>3</v>
      </c>
      <c r="I8" s="2">
        <v>3</v>
      </c>
      <c r="K8" s="2">
        <v>3</v>
      </c>
      <c r="M8">
        <v>3</v>
      </c>
      <c r="N8" s="2">
        <v>2</v>
      </c>
      <c r="O8">
        <f t="shared" si="0"/>
        <v>2.8333333333333335</v>
      </c>
      <c r="P8">
        <f>O8-$S$1</f>
        <v>-0.39247311827956954</v>
      </c>
    </row>
    <row r="9" spans="2:19" x14ac:dyDescent="0.35">
      <c r="B9" t="s">
        <v>20</v>
      </c>
      <c r="C9" s="2">
        <v>1</v>
      </c>
      <c r="E9" s="2">
        <v>2</v>
      </c>
      <c r="F9" s="2">
        <v>3</v>
      </c>
      <c r="H9" s="2">
        <v>2</v>
      </c>
      <c r="J9" s="2">
        <v>3</v>
      </c>
      <c r="K9" s="2">
        <v>2</v>
      </c>
      <c r="O9">
        <f t="shared" si="0"/>
        <v>2.1666666666666665</v>
      </c>
      <c r="P9">
        <f>O9-$S$1</f>
        <v>-1.0591397849462365</v>
      </c>
    </row>
    <row r="10" spans="2:19" x14ac:dyDescent="0.35">
      <c r="B10" s="2" t="s">
        <v>21</v>
      </c>
      <c r="E10" s="2">
        <v>3</v>
      </c>
      <c r="G10" s="2">
        <v>2</v>
      </c>
      <c r="I10" s="2">
        <v>2</v>
      </c>
      <c r="L10" s="2">
        <v>1</v>
      </c>
      <c r="O10">
        <f t="shared" si="0"/>
        <v>2</v>
      </c>
      <c r="P10">
        <f>O10-$S$1</f>
        <v>-1.225806451612903</v>
      </c>
    </row>
    <row r="11" spans="2:19" x14ac:dyDescent="0.35">
      <c r="B11" t="s">
        <v>22</v>
      </c>
      <c r="C11" s="2">
        <v>4</v>
      </c>
      <c r="M11" s="2">
        <v>3</v>
      </c>
      <c r="O11">
        <f t="shared" si="0"/>
        <v>3.5</v>
      </c>
      <c r="P11">
        <f>O11-$S$1</f>
        <v>0.27419354838709697</v>
      </c>
    </row>
    <row r="12" spans="2:19" x14ac:dyDescent="0.35">
      <c r="B12" t="s">
        <v>23</v>
      </c>
      <c r="J12" s="2">
        <v>4</v>
      </c>
      <c r="L12" s="2">
        <v>3</v>
      </c>
      <c r="O12">
        <f t="shared" si="0"/>
        <v>3.5</v>
      </c>
      <c r="P12">
        <f>O12-$S$1</f>
        <v>0.27419354838709697</v>
      </c>
    </row>
    <row r="13" spans="2:19" x14ac:dyDescent="0.35">
      <c r="B13" t="s">
        <v>24</v>
      </c>
      <c r="C13" s="2">
        <v>5</v>
      </c>
      <c r="D13" s="2">
        <v>3</v>
      </c>
      <c r="F13" s="2">
        <v>5</v>
      </c>
      <c r="I13" s="2">
        <v>5</v>
      </c>
      <c r="L13" s="2">
        <v>4</v>
      </c>
      <c r="O13">
        <f t="shared" si="0"/>
        <v>4.4000000000000004</v>
      </c>
      <c r="P13">
        <f>O13-$S$1</f>
        <v>1.1741935483870973</v>
      </c>
    </row>
    <row r="14" spans="2:19" x14ac:dyDescent="0.35">
      <c r="B14" t="s">
        <v>25</v>
      </c>
      <c r="H14" s="2">
        <v>3</v>
      </c>
      <c r="J14" s="2">
        <v>5</v>
      </c>
      <c r="N14" s="2">
        <v>4</v>
      </c>
      <c r="O14">
        <f t="shared" si="0"/>
        <v>4</v>
      </c>
      <c r="P14">
        <f>O14-$S$1</f>
        <v>0.77419354838709697</v>
      </c>
    </row>
    <row r="15" spans="2:19" x14ac:dyDescent="0.35">
      <c r="B15" t="s">
        <v>26</v>
      </c>
      <c r="E15" s="2">
        <v>4</v>
      </c>
      <c r="H15" s="2">
        <v>2</v>
      </c>
      <c r="I15" s="2">
        <v>4</v>
      </c>
      <c r="L15" s="2">
        <v>3</v>
      </c>
      <c r="O15">
        <f t="shared" si="0"/>
        <v>3.25</v>
      </c>
      <c r="P15">
        <f>O15-$S$1</f>
        <v>2.4193548387096975E-2</v>
      </c>
    </row>
    <row r="16" spans="2:19" x14ac:dyDescent="0.35">
      <c r="B16" t="s">
        <v>27</v>
      </c>
      <c r="D16" s="2">
        <v>4</v>
      </c>
      <c r="F16" s="2">
        <v>5</v>
      </c>
      <c r="K16" s="2">
        <v>4</v>
      </c>
      <c r="O16">
        <f t="shared" si="0"/>
        <v>4.333333333333333</v>
      </c>
      <c r="P16">
        <f>O16-$S$1</f>
        <v>1.10752688172043</v>
      </c>
    </row>
    <row r="17" spans="1:16" x14ac:dyDescent="0.35">
      <c r="B17" t="s">
        <v>28</v>
      </c>
      <c r="C17" s="2">
        <v>4</v>
      </c>
      <c r="F17" s="2">
        <v>4</v>
      </c>
      <c r="K17" s="2">
        <v>2</v>
      </c>
      <c r="O17">
        <f t="shared" si="0"/>
        <v>3.3333333333333335</v>
      </c>
      <c r="P17">
        <f>O17-$S$1</f>
        <v>0.10752688172043046</v>
      </c>
    </row>
    <row r="18" spans="1:16" x14ac:dyDescent="0.35">
      <c r="C18">
        <f>AVERAGE(C2:C17)</f>
        <v>3.7142857142857144</v>
      </c>
      <c r="D18">
        <f>AVERAGE(D2:D17)</f>
        <v>2.6666666666666665</v>
      </c>
      <c r="E18">
        <f>AVERAGE(E2:E17)</f>
        <v>3.6</v>
      </c>
      <c r="F18">
        <f>AVERAGE(F2:F17)</f>
        <v>4</v>
      </c>
      <c r="G18">
        <f>AVERAGE(G2:G17)</f>
        <v>3.5</v>
      </c>
      <c r="H18">
        <f>AVERAGE(H2:H17)</f>
        <v>2</v>
      </c>
      <c r="I18">
        <f>AVERAGE(I2:I17)</f>
        <v>3.5</v>
      </c>
      <c r="J18">
        <f>AVERAGE(J2:J17)</f>
        <v>4</v>
      </c>
      <c r="K18">
        <f>AVERAGE(K2:K17)</f>
        <v>3</v>
      </c>
      <c r="L18">
        <f>AVERAGE(L2:L17)</f>
        <v>2.625</v>
      </c>
      <c r="M18">
        <f>AVERAGE(M2:M17)</f>
        <v>3.6666666666666665</v>
      </c>
      <c r="N18">
        <f>AVERAGE(N2:N17)</f>
        <v>2.6666666666666665</v>
      </c>
    </row>
    <row r="19" spans="1:16" x14ac:dyDescent="0.35">
      <c r="B19" t="s">
        <v>32</v>
      </c>
      <c r="C19">
        <f>C18-$S$1</f>
        <v>0.48847926267281139</v>
      </c>
      <c r="D19">
        <f t="shared" ref="D19:N19" si="1">D18-$S$1</f>
        <v>-0.55913978494623651</v>
      </c>
      <c r="E19">
        <f t="shared" si="1"/>
        <v>0.37419354838709706</v>
      </c>
      <c r="F19">
        <f t="shared" si="1"/>
        <v>0.77419354838709697</v>
      </c>
      <c r="G19">
        <f t="shared" si="1"/>
        <v>0.27419354838709697</v>
      </c>
      <c r="H19">
        <f t="shared" si="1"/>
        <v>-1.225806451612903</v>
      </c>
      <c r="I19">
        <f t="shared" si="1"/>
        <v>0.27419354838709697</v>
      </c>
      <c r="J19">
        <f t="shared" si="1"/>
        <v>0.77419354838709697</v>
      </c>
      <c r="K19">
        <f t="shared" si="1"/>
        <v>-0.22580645161290303</v>
      </c>
      <c r="L19">
        <f t="shared" si="1"/>
        <v>-0.60080645161290303</v>
      </c>
      <c r="M19">
        <f t="shared" si="1"/>
        <v>0.44086021505376349</v>
      </c>
      <c r="N19">
        <f t="shared" si="1"/>
        <v>-0.55913978494623651</v>
      </c>
    </row>
    <row r="20" spans="1:16" x14ac:dyDescent="0.35">
      <c r="C20">
        <v>0.48847926267281139</v>
      </c>
      <c r="D20">
        <v>-0.55913978494623651</v>
      </c>
      <c r="E20">
        <v>0.37419354838709706</v>
      </c>
      <c r="F20">
        <v>0.77419354838709697</v>
      </c>
      <c r="G20">
        <v>0.27419354838709697</v>
      </c>
      <c r="H20">
        <v>-1.225806451612903</v>
      </c>
      <c r="I20">
        <v>0.27419354838709697</v>
      </c>
      <c r="J20">
        <v>0.77419354838709697</v>
      </c>
      <c r="K20">
        <v>-0.22580645161290303</v>
      </c>
      <c r="L20">
        <v>-0.60080645161290303</v>
      </c>
      <c r="M20">
        <v>0.44086021505376349</v>
      </c>
      <c r="N20">
        <v>-0.55913978494623651</v>
      </c>
    </row>
    <row r="22" spans="1:16" x14ac:dyDescent="0.35">
      <c r="C22" s="2" t="s">
        <v>36</v>
      </c>
      <c r="D22" t="s">
        <v>33</v>
      </c>
      <c r="E22" t="s">
        <v>32</v>
      </c>
      <c r="F22" t="s">
        <v>34</v>
      </c>
      <c r="G22" t="s">
        <v>37</v>
      </c>
      <c r="H22" t="s">
        <v>35</v>
      </c>
    </row>
    <row r="23" spans="1:16" x14ac:dyDescent="0.35">
      <c r="A23" s="2" t="s">
        <v>12</v>
      </c>
      <c r="B23" t="s">
        <v>0</v>
      </c>
      <c r="C23">
        <v>3.23</v>
      </c>
      <c r="D23" s="2">
        <f>C23+E23+$P$2</f>
        <v>4.8926728110599083</v>
      </c>
      <c r="E23">
        <v>0.48847926267281139</v>
      </c>
      <c r="F23" s="2">
        <v>5</v>
      </c>
      <c r="G23">
        <f>IF(D23&gt;5,5,D23)</f>
        <v>4.8926728110599083</v>
      </c>
      <c r="H23">
        <f>G23-F23</f>
        <v>-0.10732718894009174</v>
      </c>
      <c r="I23">
        <f>H23*H23</f>
        <v>1.1519125485782152E-2</v>
      </c>
    </row>
    <row r="24" spans="1:16" x14ac:dyDescent="0.35">
      <c r="A24" s="2" t="s">
        <v>12</v>
      </c>
      <c r="B24" t="s">
        <v>1</v>
      </c>
      <c r="C24">
        <v>3.23</v>
      </c>
      <c r="D24" s="2">
        <f t="shared" ref="D24:D34" si="2">C24+E24+$P$2</f>
        <v>3.8450537634408608</v>
      </c>
      <c r="E24">
        <v>-0.55913978494623651</v>
      </c>
      <c r="G24">
        <f t="shared" ref="G24:G87" si="3">IF(D24&gt;5,5,D24)</f>
        <v>3.8450537634408608</v>
      </c>
      <c r="H24">
        <f t="shared" ref="H24:H87" si="4">G24-F24</f>
        <v>3.8450537634408608</v>
      </c>
    </row>
    <row r="25" spans="1:16" x14ac:dyDescent="0.35">
      <c r="A25" s="2" t="s">
        <v>12</v>
      </c>
      <c r="B25" t="s">
        <v>2</v>
      </c>
      <c r="C25">
        <v>3.23</v>
      </c>
      <c r="D25" s="2">
        <f t="shared" si="2"/>
        <v>4.7783870967741944</v>
      </c>
      <c r="E25">
        <v>0.37419354838709706</v>
      </c>
      <c r="F25" s="2">
        <v>4</v>
      </c>
      <c r="G25">
        <f t="shared" si="3"/>
        <v>4.7783870967741944</v>
      </c>
      <c r="H25">
        <f t="shared" si="4"/>
        <v>0.77838709677419438</v>
      </c>
      <c r="I25">
        <f>H25*H25</f>
        <v>0.60588647242455906</v>
      </c>
    </row>
    <row r="26" spans="1:16" x14ac:dyDescent="0.35">
      <c r="A26" s="2" t="s">
        <v>12</v>
      </c>
      <c r="B26" t="s">
        <v>3</v>
      </c>
      <c r="C26">
        <v>3.23</v>
      </c>
      <c r="D26" s="2">
        <f t="shared" si="2"/>
        <v>5.1783870967741938</v>
      </c>
      <c r="E26">
        <v>0.77419354838709697</v>
      </c>
      <c r="G26">
        <f t="shared" si="3"/>
        <v>5</v>
      </c>
      <c r="H26">
        <f t="shared" si="4"/>
        <v>5</v>
      </c>
    </row>
    <row r="27" spans="1:16" x14ac:dyDescent="0.35">
      <c r="A27" s="2" t="s">
        <v>12</v>
      </c>
      <c r="B27" t="s">
        <v>4</v>
      </c>
      <c r="C27">
        <v>3.23</v>
      </c>
      <c r="D27" s="2">
        <f t="shared" si="2"/>
        <v>4.6783870967741947</v>
      </c>
      <c r="E27">
        <v>0.27419354838709697</v>
      </c>
      <c r="F27" s="2">
        <v>5</v>
      </c>
      <c r="G27">
        <f t="shared" si="3"/>
        <v>4.6783870967741947</v>
      </c>
      <c r="H27">
        <f t="shared" si="4"/>
        <v>-0.32161290322580527</v>
      </c>
      <c r="I27">
        <f>H27*H27</f>
        <v>0.10343485952133119</v>
      </c>
    </row>
    <row r="28" spans="1:16" x14ac:dyDescent="0.35">
      <c r="A28" s="2" t="s">
        <v>12</v>
      </c>
      <c r="B28" t="s">
        <v>5</v>
      </c>
      <c r="C28">
        <v>3.23</v>
      </c>
      <c r="D28" s="2">
        <f t="shared" si="2"/>
        <v>3.1783870967741943</v>
      </c>
      <c r="E28">
        <v>-1.225806451612903</v>
      </c>
      <c r="G28">
        <f t="shared" si="3"/>
        <v>3.1783870967741943</v>
      </c>
      <c r="H28">
        <f t="shared" si="4"/>
        <v>3.1783870967741943</v>
      </c>
    </row>
    <row r="29" spans="1:16" x14ac:dyDescent="0.35">
      <c r="A29" s="2" t="s">
        <v>12</v>
      </c>
      <c r="B29" t="s">
        <v>6</v>
      </c>
      <c r="C29">
        <v>3.23</v>
      </c>
      <c r="D29" s="2">
        <f t="shared" si="2"/>
        <v>4.6783870967741947</v>
      </c>
      <c r="E29">
        <v>0.27419354838709697</v>
      </c>
      <c r="G29">
        <f t="shared" si="3"/>
        <v>4.6783870967741947</v>
      </c>
      <c r="H29">
        <f t="shared" si="4"/>
        <v>4.6783870967741947</v>
      </c>
    </row>
    <row r="30" spans="1:16" x14ac:dyDescent="0.35">
      <c r="A30" s="2" t="s">
        <v>12</v>
      </c>
      <c r="B30" t="s">
        <v>7</v>
      </c>
      <c r="C30">
        <v>3.23</v>
      </c>
      <c r="D30" s="2">
        <f t="shared" si="2"/>
        <v>5.1783870967741938</v>
      </c>
      <c r="E30">
        <v>0.77419354838709697</v>
      </c>
      <c r="F30" s="2">
        <v>4</v>
      </c>
      <c r="G30">
        <f t="shared" si="3"/>
        <v>5</v>
      </c>
      <c r="H30">
        <f t="shared" si="4"/>
        <v>1</v>
      </c>
      <c r="I30">
        <f t="shared" ref="I30:I31" si="5">H30*H30</f>
        <v>1</v>
      </c>
    </row>
    <row r="31" spans="1:16" x14ac:dyDescent="0.35">
      <c r="A31" s="2" t="s">
        <v>12</v>
      </c>
      <c r="B31" t="s">
        <v>8</v>
      </c>
      <c r="C31">
        <v>3.23</v>
      </c>
      <c r="D31" s="2">
        <f t="shared" si="2"/>
        <v>4.1783870967741947</v>
      </c>
      <c r="E31">
        <v>-0.22580645161290303</v>
      </c>
      <c r="F31" s="2">
        <v>4</v>
      </c>
      <c r="G31">
        <f t="shared" si="3"/>
        <v>4.1783870967741947</v>
      </c>
      <c r="H31">
        <f t="shared" si="4"/>
        <v>0.17838709677419473</v>
      </c>
      <c r="I31">
        <f t="shared" si="5"/>
        <v>3.1821956295525915E-2</v>
      </c>
    </row>
    <row r="32" spans="1:16" x14ac:dyDescent="0.35">
      <c r="A32" s="2" t="s">
        <v>12</v>
      </c>
      <c r="B32" t="s">
        <v>9</v>
      </c>
      <c r="C32">
        <v>3.23</v>
      </c>
      <c r="D32" s="2">
        <f t="shared" si="2"/>
        <v>3.8033870967741943</v>
      </c>
      <c r="E32">
        <v>-0.60080645161290303</v>
      </c>
      <c r="G32">
        <f t="shared" si="3"/>
        <v>3.8033870967741943</v>
      </c>
      <c r="H32">
        <f t="shared" si="4"/>
        <v>3.8033870967741943</v>
      </c>
    </row>
    <row r="33" spans="1:9" x14ac:dyDescent="0.35">
      <c r="A33" s="2" t="s">
        <v>12</v>
      </c>
      <c r="B33" t="s">
        <v>10</v>
      </c>
      <c r="C33">
        <v>3.23</v>
      </c>
      <c r="D33" s="2">
        <f t="shared" si="2"/>
        <v>4.8450537634408608</v>
      </c>
      <c r="E33">
        <v>0.44086021505376349</v>
      </c>
      <c r="G33">
        <f t="shared" si="3"/>
        <v>4.8450537634408608</v>
      </c>
      <c r="H33">
        <f t="shared" si="4"/>
        <v>4.8450537634408608</v>
      </c>
    </row>
    <row r="34" spans="1:9" x14ac:dyDescent="0.35">
      <c r="A34" s="2" t="s">
        <v>12</v>
      </c>
      <c r="B34" t="s">
        <v>11</v>
      </c>
      <c r="C34">
        <v>3.23</v>
      </c>
      <c r="D34" s="2">
        <f t="shared" si="2"/>
        <v>3.8450537634408608</v>
      </c>
      <c r="E34">
        <v>-0.55913978494623651</v>
      </c>
      <c r="G34">
        <f t="shared" si="3"/>
        <v>3.8450537634408608</v>
      </c>
      <c r="H34">
        <f t="shared" si="4"/>
        <v>3.8450537634408608</v>
      </c>
    </row>
    <row r="35" spans="1:9" x14ac:dyDescent="0.35">
      <c r="A35" s="2" t="s">
        <v>13</v>
      </c>
      <c r="B35" t="s">
        <v>0</v>
      </c>
      <c r="C35">
        <v>3.23</v>
      </c>
      <c r="D35" s="2">
        <f>C35+E35+$P$3</f>
        <v>2.4926728110599083</v>
      </c>
      <c r="E35">
        <v>0.48847926267281139</v>
      </c>
      <c r="G35">
        <f t="shared" si="3"/>
        <v>2.4926728110599083</v>
      </c>
      <c r="H35">
        <f t="shared" si="4"/>
        <v>2.4926728110599083</v>
      </c>
    </row>
    <row r="36" spans="1:9" x14ac:dyDescent="0.35">
      <c r="A36" s="2" t="s">
        <v>13</v>
      </c>
      <c r="B36" t="s">
        <v>1</v>
      </c>
      <c r="C36">
        <v>3.23</v>
      </c>
      <c r="D36" s="2">
        <f t="shared" ref="D36:D47" si="6">C36+E36+$P$3</f>
        <v>1.4450537634408605</v>
      </c>
      <c r="E36">
        <v>-0.55913978494623651</v>
      </c>
      <c r="F36" s="2">
        <v>2</v>
      </c>
      <c r="G36">
        <f t="shared" si="3"/>
        <v>1.4450537634408605</v>
      </c>
      <c r="H36">
        <f t="shared" si="4"/>
        <v>-0.55494623655913955</v>
      </c>
      <c r="I36">
        <f>H36*H36</f>
        <v>0.30796532547115246</v>
      </c>
    </row>
    <row r="37" spans="1:9" x14ac:dyDescent="0.35">
      <c r="A37" s="2" t="s">
        <v>13</v>
      </c>
      <c r="B37" t="s">
        <v>2</v>
      </c>
      <c r="C37">
        <v>3.23</v>
      </c>
      <c r="D37" s="2">
        <f t="shared" si="6"/>
        <v>2.378387096774194</v>
      </c>
      <c r="E37">
        <v>0.37419354838709706</v>
      </c>
      <c r="G37">
        <f t="shared" si="3"/>
        <v>2.378387096774194</v>
      </c>
      <c r="H37">
        <f t="shared" si="4"/>
        <v>2.378387096774194</v>
      </c>
    </row>
    <row r="38" spans="1:9" x14ac:dyDescent="0.35">
      <c r="A38" s="2" t="s">
        <v>13</v>
      </c>
      <c r="B38" t="s">
        <v>3</v>
      </c>
      <c r="C38">
        <v>3.23</v>
      </c>
      <c r="D38" s="2">
        <f t="shared" si="6"/>
        <v>2.7783870967741935</v>
      </c>
      <c r="E38">
        <v>0.77419354838709697</v>
      </c>
      <c r="F38" s="2">
        <v>3</v>
      </c>
      <c r="G38">
        <f t="shared" si="3"/>
        <v>2.7783870967741935</v>
      </c>
      <c r="H38">
        <f t="shared" si="4"/>
        <v>-0.22161290322580651</v>
      </c>
      <c r="I38">
        <f>H38*H38</f>
        <v>4.911227887617068E-2</v>
      </c>
    </row>
    <row r="39" spans="1:9" x14ac:dyDescent="0.35">
      <c r="A39" s="2" t="s">
        <v>13</v>
      </c>
      <c r="B39" t="s">
        <v>4</v>
      </c>
      <c r="C39">
        <v>3.23</v>
      </c>
      <c r="D39" s="2">
        <f t="shared" si="6"/>
        <v>2.2783870967741939</v>
      </c>
      <c r="E39">
        <v>0.27419354838709697</v>
      </c>
      <c r="G39">
        <f t="shared" si="3"/>
        <v>2.2783870967741939</v>
      </c>
      <c r="H39">
        <f t="shared" si="4"/>
        <v>2.2783870967741939</v>
      </c>
    </row>
    <row r="40" spans="1:9" x14ac:dyDescent="0.35">
      <c r="A40" s="2" t="s">
        <v>13</v>
      </c>
      <c r="B40" t="s">
        <v>5</v>
      </c>
      <c r="C40">
        <v>3.23</v>
      </c>
      <c r="D40" s="2">
        <f t="shared" si="6"/>
        <v>0.77838709677419393</v>
      </c>
      <c r="E40">
        <v>-1.225806451612903</v>
      </c>
      <c r="F40" s="2">
        <v>1</v>
      </c>
      <c r="G40">
        <f t="shared" si="3"/>
        <v>0.77838709677419393</v>
      </c>
      <c r="H40">
        <f t="shared" si="4"/>
        <v>-0.22161290322580607</v>
      </c>
      <c r="I40">
        <f>H40*H40</f>
        <v>4.9112278876170486E-2</v>
      </c>
    </row>
    <row r="41" spans="1:9" x14ac:dyDescent="0.35">
      <c r="A41" s="2" t="s">
        <v>13</v>
      </c>
      <c r="B41" t="s">
        <v>6</v>
      </c>
      <c r="C41">
        <v>3.23</v>
      </c>
      <c r="D41" s="2">
        <f t="shared" si="6"/>
        <v>2.2783870967741939</v>
      </c>
      <c r="E41">
        <v>0.27419354838709697</v>
      </c>
      <c r="G41">
        <f t="shared" si="3"/>
        <v>2.2783870967741939</v>
      </c>
      <c r="H41">
        <f t="shared" si="4"/>
        <v>2.2783870967741939</v>
      </c>
    </row>
    <row r="42" spans="1:9" x14ac:dyDescent="0.35">
      <c r="A42" s="2" t="s">
        <v>13</v>
      </c>
      <c r="B42" t="s">
        <v>7</v>
      </c>
      <c r="C42">
        <v>3.23</v>
      </c>
      <c r="D42" s="2">
        <f t="shared" si="6"/>
        <v>2.7783870967741935</v>
      </c>
      <c r="E42">
        <v>0.77419354838709697</v>
      </c>
      <c r="G42">
        <f t="shared" si="3"/>
        <v>2.7783870967741935</v>
      </c>
      <c r="H42">
        <f t="shared" si="4"/>
        <v>2.7783870967741935</v>
      </c>
    </row>
    <row r="43" spans="1:9" x14ac:dyDescent="0.35">
      <c r="A43" s="2" t="s">
        <v>13</v>
      </c>
      <c r="B43" t="s">
        <v>8</v>
      </c>
      <c r="C43">
        <v>3.23</v>
      </c>
      <c r="D43" s="2">
        <f t="shared" si="6"/>
        <v>1.7783870967741939</v>
      </c>
      <c r="E43">
        <v>-0.22580645161290303</v>
      </c>
      <c r="G43">
        <f t="shared" si="3"/>
        <v>1.7783870967741939</v>
      </c>
      <c r="H43">
        <f t="shared" si="4"/>
        <v>1.7783870967741939</v>
      </c>
    </row>
    <row r="44" spans="1:9" x14ac:dyDescent="0.35">
      <c r="A44" s="2" t="s">
        <v>13</v>
      </c>
      <c r="B44" t="s">
        <v>9</v>
      </c>
      <c r="C44">
        <v>3.23</v>
      </c>
      <c r="D44" s="2">
        <f t="shared" si="6"/>
        <v>1.4033870967741939</v>
      </c>
      <c r="E44">
        <v>-0.60080645161290303</v>
      </c>
      <c r="G44">
        <f t="shared" si="3"/>
        <v>1.4033870967741939</v>
      </c>
      <c r="H44">
        <f t="shared" si="4"/>
        <v>1.4033870967741939</v>
      </c>
    </row>
    <row r="45" spans="1:9" x14ac:dyDescent="0.35">
      <c r="A45" s="2" t="s">
        <v>13</v>
      </c>
      <c r="B45" t="s">
        <v>10</v>
      </c>
      <c r="C45">
        <v>3.23</v>
      </c>
      <c r="D45" s="2">
        <f t="shared" si="6"/>
        <v>2.4450537634408605</v>
      </c>
      <c r="E45">
        <v>0.44086021505376349</v>
      </c>
      <c r="G45">
        <f t="shared" si="3"/>
        <v>2.4450537634408605</v>
      </c>
      <c r="H45">
        <f t="shared" si="4"/>
        <v>2.4450537634408605</v>
      </c>
    </row>
    <row r="46" spans="1:9" x14ac:dyDescent="0.35">
      <c r="A46" s="2" t="s">
        <v>13</v>
      </c>
      <c r="B46" t="s">
        <v>11</v>
      </c>
      <c r="C46">
        <v>3.23</v>
      </c>
      <c r="D46" s="2">
        <f t="shared" si="6"/>
        <v>1.4450537634408605</v>
      </c>
      <c r="E46">
        <v>-0.55913978494623651</v>
      </c>
      <c r="F46" s="2">
        <v>2</v>
      </c>
      <c r="G46">
        <f t="shared" si="3"/>
        <v>1.4450537634408605</v>
      </c>
      <c r="H46">
        <f t="shared" si="4"/>
        <v>-0.55494623655913955</v>
      </c>
      <c r="I46">
        <f t="shared" ref="I46:I48" si="7">H46*H46</f>
        <v>0.30796532547115246</v>
      </c>
    </row>
    <row r="47" spans="1:9" x14ac:dyDescent="0.35">
      <c r="A47" s="2" t="s">
        <v>14</v>
      </c>
      <c r="B47" t="s">
        <v>0</v>
      </c>
      <c r="C47">
        <v>3.23</v>
      </c>
      <c r="D47" s="2">
        <f>C47+E47+$P$4</f>
        <v>3.7426728110599083</v>
      </c>
      <c r="E47">
        <v>0.48847926267281139</v>
      </c>
      <c r="F47" s="2">
        <v>3</v>
      </c>
      <c r="G47">
        <f t="shared" si="3"/>
        <v>3.7426728110599083</v>
      </c>
      <c r="H47">
        <f t="shared" si="4"/>
        <v>0.74267281105990834</v>
      </c>
      <c r="I47">
        <f t="shared" si="7"/>
        <v>0.55156290428762633</v>
      </c>
    </row>
    <row r="48" spans="1:9" x14ac:dyDescent="0.35">
      <c r="A48" s="2" t="s">
        <v>14</v>
      </c>
      <c r="B48" t="s">
        <v>1</v>
      </c>
      <c r="C48">
        <v>3.23</v>
      </c>
      <c r="D48" s="2">
        <f t="shared" ref="D48:D59" si="8">C48+E48+$P$4</f>
        <v>2.6950537634408605</v>
      </c>
      <c r="E48">
        <v>-0.55913978494623651</v>
      </c>
      <c r="F48" s="2">
        <v>3</v>
      </c>
      <c r="G48">
        <f t="shared" si="3"/>
        <v>2.6950537634408605</v>
      </c>
      <c r="H48">
        <f t="shared" si="4"/>
        <v>-0.30494623655913955</v>
      </c>
      <c r="I48">
        <f t="shared" si="7"/>
        <v>9.2992207191582701E-2</v>
      </c>
    </row>
    <row r="49" spans="1:9" x14ac:dyDescent="0.35">
      <c r="A49" s="2" t="s">
        <v>14</v>
      </c>
      <c r="B49" t="s">
        <v>2</v>
      </c>
      <c r="C49">
        <v>3.23</v>
      </c>
      <c r="D49" s="2">
        <f t="shared" si="8"/>
        <v>3.628387096774194</v>
      </c>
      <c r="E49">
        <v>0.37419354838709706</v>
      </c>
      <c r="G49">
        <f t="shared" si="3"/>
        <v>3.628387096774194</v>
      </c>
      <c r="H49">
        <f t="shared" si="4"/>
        <v>3.628387096774194</v>
      </c>
    </row>
    <row r="50" spans="1:9" x14ac:dyDescent="0.35">
      <c r="A50" s="2" t="s">
        <v>14</v>
      </c>
      <c r="B50" t="s">
        <v>3</v>
      </c>
      <c r="C50">
        <v>3.23</v>
      </c>
      <c r="D50" s="2">
        <f t="shared" si="8"/>
        <v>4.0283870967741935</v>
      </c>
      <c r="E50">
        <v>0.77419354838709697</v>
      </c>
      <c r="G50">
        <f t="shared" si="3"/>
        <v>4.0283870967741935</v>
      </c>
      <c r="H50">
        <f t="shared" si="4"/>
        <v>4.0283870967741935</v>
      </c>
    </row>
    <row r="51" spans="1:9" x14ac:dyDescent="0.35">
      <c r="A51" s="2" t="s">
        <v>14</v>
      </c>
      <c r="B51" t="s">
        <v>4</v>
      </c>
      <c r="C51">
        <v>3.23</v>
      </c>
      <c r="D51" s="2">
        <f t="shared" si="8"/>
        <v>3.5283870967741939</v>
      </c>
      <c r="E51">
        <v>0.27419354838709697</v>
      </c>
      <c r="G51">
        <f t="shared" si="3"/>
        <v>3.5283870967741939</v>
      </c>
      <c r="H51">
        <f t="shared" si="4"/>
        <v>3.5283870967741939</v>
      </c>
    </row>
    <row r="52" spans="1:9" x14ac:dyDescent="0.35">
      <c r="A52" s="2" t="s">
        <v>14</v>
      </c>
      <c r="B52" t="s">
        <v>5</v>
      </c>
      <c r="C52">
        <v>3.23</v>
      </c>
      <c r="D52" s="2">
        <f t="shared" si="8"/>
        <v>2.0283870967741939</v>
      </c>
      <c r="E52">
        <v>-1.225806451612903</v>
      </c>
      <c r="G52">
        <f t="shared" si="3"/>
        <v>2.0283870967741939</v>
      </c>
      <c r="H52">
        <f t="shared" si="4"/>
        <v>2.0283870967741939</v>
      </c>
    </row>
    <row r="53" spans="1:9" x14ac:dyDescent="0.35">
      <c r="A53" s="2" t="s">
        <v>14</v>
      </c>
      <c r="B53" t="s">
        <v>6</v>
      </c>
      <c r="C53">
        <v>3.23</v>
      </c>
      <c r="D53" s="2">
        <f t="shared" si="8"/>
        <v>3.5283870967741939</v>
      </c>
      <c r="E53">
        <v>0.27419354838709697</v>
      </c>
      <c r="G53">
        <f t="shared" si="3"/>
        <v>3.5283870967741939</v>
      </c>
      <c r="H53">
        <f t="shared" si="4"/>
        <v>3.5283870967741939</v>
      </c>
    </row>
    <row r="54" spans="1:9" x14ac:dyDescent="0.35">
      <c r="A54" s="2" t="s">
        <v>14</v>
      </c>
      <c r="B54" t="s">
        <v>7</v>
      </c>
      <c r="C54">
        <v>3.23</v>
      </c>
      <c r="D54" s="2">
        <f>C54+E54+$P$4</f>
        <v>4.0283870967741935</v>
      </c>
      <c r="E54">
        <v>0.77419354838709697</v>
      </c>
      <c r="G54">
        <f t="shared" si="3"/>
        <v>4.0283870967741935</v>
      </c>
      <c r="H54">
        <f t="shared" si="4"/>
        <v>4.0283870967741935</v>
      </c>
    </row>
    <row r="55" spans="1:9" x14ac:dyDescent="0.35">
      <c r="A55" s="2" t="s">
        <v>14</v>
      </c>
      <c r="B55" t="s">
        <v>8</v>
      </c>
      <c r="C55">
        <v>3.23</v>
      </c>
      <c r="D55" s="2">
        <f t="shared" si="8"/>
        <v>3.0283870967741939</v>
      </c>
      <c r="E55">
        <v>-0.22580645161290303</v>
      </c>
      <c r="G55">
        <f t="shared" si="3"/>
        <v>3.0283870967741939</v>
      </c>
      <c r="H55">
        <f t="shared" si="4"/>
        <v>3.0283870967741939</v>
      </c>
    </row>
    <row r="56" spans="1:9" x14ac:dyDescent="0.35">
      <c r="A56" s="2" t="s">
        <v>14</v>
      </c>
      <c r="B56" t="s">
        <v>9</v>
      </c>
      <c r="C56">
        <v>3.23</v>
      </c>
      <c r="D56" s="2">
        <f t="shared" si="8"/>
        <v>2.6533870967741939</v>
      </c>
      <c r="E56">
        <v>-0.60080645161290303</v>
      </c>
      <c r="F56" s="2">
        <v>3</v>
      </c>
      <c r="G56">
        <f t="shared" si="3"/>
        <v>2.6533870967741939</v>
      </c>
      <c r="H56">
        <f t="shared" si="4"/>
        <v>-0.34661290322580607</v>
      </c>
      <c r="I56">
        <f t="shared" ref="I56:I57" si="9">H56*H56</f>
        <v>0.12014050468262201</v>
      </c>
    </row>
    <row r="57" spans="1:9" x14ac:dyDescent="0.35">
      <c r="A57" s="2" t="s">
        <v>14</v>
      </c>
      <c r="B57" t="s">
        <v>10</v>
      </c>
      <c r="C57">
        <v>3.23</v>
      </c>
      <c r="D57" s="2">
        <f t="shared" si="8"/>
        <v>3.6950537634408605</v>
      </c>
      <c r="E57">
        <v>0.44086021505376349</v>
      </c>
      <c r="F57" s="2">
        <v>4</v>
      </c>
      <c r="G57">
        <f t="shared" si="3"/>
        <v>3.6950537634408605</v>
      </c>
      <c r="H57">
        <f t="shared" si="4"/>
        <v>-0.30494623655913955</v>
      </c>
      <c r="I57">
        <f t="shared" si="9"/>
        <v>9.2992207191582701E-2</v>
      </c>
    </row>
    <row r="58" spans="1:9" x14ac:dyDescent="0.35">
      <c r="A58" s="2" t="s">
        <v>14</v>
      </c>
      <c r="B58" t="s">
        <v>11</v>
      </c>
      <c r="C58">
        <v>3.23</v>
      </c>
      <c r="D58" s="2">
        <f>C58+E58+$P$4</f>
        <v>2.6950537634408605</v>
      </c>
      <c r="E58">
        <v>-0.55913978494623651</v>
      </c>
      <c r="G58">
        <f t="shared" si="3"/>
        <v>2.6950537634408605</v>
      </c>
      <c r="H58">
        <f t="shared" si="4"/>
        <v>2.6950537634408605</v>
      </c>
    </row>
    <row r="59" spans="1:9" x14ac:dyDescent="0.35">
      <c r="A59" s="2" t="s">
        <v>15</v>
      </c>
      <c r="B59" t="s">
        <v>0</v>
      </c>
      <c r="C59">
        <v>3.23</v>
      </c>
      <c r="D59" s="2">
        <f>C59+E59+$P$5</f>
        <v>4.8926728110599083</v>
      </c>
      <c r="E59">
        <v>0.48847926267281139</v>
      </c>
      <c r="F59" s="2">
        <v>4</v>
      </c>
      <c r="G59">
        <f t="shared" si="3"/>
        <v>4.8926728110599083</v>
      </c>
      <c r="H59">
        <f t="shared" si="4"/>
        <v>0.89267281105990826</v>
      </c>
      <c r="I59">
        <f>H59*H59</f>
        <v>0.79686474760559867</v>
      </c>
    </row>
    <row r="60" spans="1:9" x14ac:dyDescent="0.35">
      <c r="A60" s="2" t="s">
        <v>15</v>
      </c>
      <c r="B60" t="s">
        <v>1</v>
      </c>
      <c r="C60">
        <v>3.23</v>
      </c>
      <c r="D60" s="2">
        <f t="shared" ref="D60:D70" si="10">C60+E60+$P$5</f>
        <v>3.8450537634408608</v>
      </c>
      <c r="E60">
        <v>-0.55913978494623651</v>
      </c>
      <c r="G60">
        <f t="shared" si="3"/>
        <v>3.8450537634408608</v>
      </c>
      <c r="H60">
        <f t="shared" si="4"/>
        <v>3.8450537634408608</v>
      </c>
    </row>
    <row r="61" spans="1:9" x14ac:dyDescent="0.35">
      <c r="A61" s="2" t="s">
        <v>15</v>
      </c>
      <c r="B61" t="s">
        <v>2</v>
      </c>
      <c r="C61">
        <v>3.23</v>
      </c>
      <c r="D61" s="2">
        <f t="shared" si="10"/>
        <v>4.7783870967741944</v>
      </c>
      <c r="E61">
        <v>0.37419354838709706</v>
      </c>
      <c r="F61" s="2">
        <v>5</v>
      </c>
      <c r="G61">
        <f t="shared" si="3"/>
        <v>4.7783870967741944</v>
      </c>
      <c r="H61">
        <f t="shared" si="4"/>
        <v>-0.22161290322580562</v>
      </c>
      <c r="I61">
        <f>H61*H61</f>
        <v>4.9112278876170291E-2</v>
      </c>
    </row>
    <row r="62" spans="1:9" x14ac:dyDescent="0.35">
      <c r="A62" s="2" t="s">
        <v>15</v>
      </c>
      <c r="B62" t="s">
        <v>3</v>
      </c>
      <c r="C62">
        <v>3.23</v>
      </c>
      <c r="D62" s="2">
        <f t="shared" si="10"/>
        <v>5.1783870967741938</v>
      </c>
      <c r="E62">
        <v>0.77419354838709697</v>
      </c>
      <c r="G62">
        <f t="shared" si="3"/>
        <v>5</v>
      </c>
      <c r="H62">
        <f t="shared" si="4"/>
        <v>5</v>
      </c>
    </row>
    <row r="63" spans="1:9" x14ac:dyDescent="0.35">
      <c r="A63" s="2" t="s">
        <v>15</v>
      </c>
      <c r="B63" t="s">
        <v>4</v>
      </c>
      <c r="C63">
        <v>3.23</v>
      </c>
      <c r="D63" s="2">
        <f t="shared" si="10"/>
        <v>4.6783870967741947</v>
      </c>
      <c r="E63">
        <v>0.27419354838709697</v>
      </c>
      <c r="F63" s="2">
        <v>4</v>
      </c>
      <c r="G63">
        <f t="shared" si="3"/>
        <v>4.6783870967741947</v>
      </c>
      <c r="H63">
        <f t="shared" si="4"/>
        <v>0.67838709677419473</v>
      </c>
      <c r="I63">
        <f>H63*H63</f>
        <v>0.46020905306972065</v>
      </c>
    </row>
    <row r="64" spans="1:9" x14ac:dyDescent="0.35">
      <c r="A64" s="2" t="s">
        <v>15</v>
      </c>
      <c r="B64" t="s">
        <v>5</v>
      </c>
      <c r="C64">
        <v>3.23</v>
      </c>
      <c r="D64" s="2">
        <f t="shared" si="10"/>
        <v>3.1783870967741943</v>
      </c>
      <c r="E64">
        <v>-1.225806451612903</v>
      </c>
      <c r="G64">
        <f t="shared" si="3"/>
        <v>3.1783870967741943</v>
      </c>
      <c r="H64">
        <f t="shared" si="4"/>
        <v>3.1783870967741943</v>
      </c>
    </row>
    <row r="65" spans="1:9" x14ac:dyDescent="0.35">
      <c r="A65" s="2" t="s">
        <v>15</v>
      </c>
      <c r="B65" t="s">
        <v>6</v>
      </c>
      <c r="C65">
        <v>3.23</v>
      </c>
      <c r="D65" s="2">
        <f t="shared" si="10"/>
        <v>4.6783870967741947</v>
      </c>
      <c r="E65">
        <v>0.27419354838709697</v>
      </c>
      <c r="G65">
        <f t="shared" si="3"/>
        <v>4.6783870967741947</v>
      </c>
      <c r="H65">
        <f t="shared" si="4"/>
        <v>4.6783870967741947</v>
      </c>
    </row>
    <row r="66" spans="1:9" x14ac:dyDescent="0.35">
      <c r="A66" s="2" t="s">
        <v>15</v>
      </c>
      <c r="B66" t="s">
        <v>7</v>
      </c>
      <c r="C66">
        <v>3.23</v>
      </c>
      <c r="D66" s="2">
        <f t="shared" si="10"/>
        <v>5.1783870967741938</v>
      </c>
      <c r="E66">
        <v>0.77419354838709697</v>
      </c>
      <c r="G66">
        <f t="shared" si="3"/>
        <v>5</v>
      </c>
      <c r="H66">
        <f t="shared" si="4"/>
        <v>5</v>
      </c>
    </row>
    <row r="67" spans="1:9" x14ac:dyDescent="0.35">
      <c r="A67" s="2" t="s">
        <v>15</v>
      </c>
      <c r="B67" t="s">
        <v>8</v>
      </c>
      <c r="C67">
        <v>3.23</v>
      </c>
      <c r="D67" s="2">
        <f t="shared" si="10"/>
        <v>4.1783870967741947</v>
      </c>
      <c r="E67">
        <v>-0.22580645161290303</v>
      </c>
      <c r="G67">
        <f t="shared" si="3"/>
        <v>4.1783870967741947</v>
      </c>
      <c r="H67">
        <f t="shared" si="4"/>
        <v>4.1783870967741947</v>
      </c>
    </row>
    <row r="68" spans="1:9" x14ac:dyDescent="0.35">
      <c r="A68" s="2" t="s">
        <v>15</v>
      </c>
      <c r="B68" t="s">
        <v>9</v>
      </c>
      <c r="C68">
        <v>3.23</v>
      </c>
      <c r="D68" s="2">
        <f t="shared" si="10"/>
        <v>3.8033870967741943</v>
      </c>
      <c r="E68">
        <v>-0.60080645161290303</v>
      </c>
      <c r="F68" s="2">
        <v>4</v>
      </c>
      <c r="G68">
        <f t="shared" si="3"/>
        <v>3.8033870967741943</v>
      </c>
      <c r="H68">
        <f t="shared" si="4"/>
        <v>-0.19661290322580571</v>
      </c>
      <c r="I68">
        <f t="shared" ref="I68:I69" si="11">H68*H68</f>
        <v>3.865663371488004E-2</v>
      </c>
    </row>
    <row r="69" spans="1:9" x14ac:dyDescent="0.35">
      <c r="A69" s="2" t="s">
        <v>15</v>
      </c>
      <c r="B69" t="s">
        <v>10</v>
      </c>
      <c r="C69">
        <v>3.23</v>
      </c>
      <c r="D69" s="2">
        <f t="shared" si="10"/>
        <v>4.8450537634408608</v>
      </c>
      <c r="E69">
        <v>0.44086021505376349</v>
      </c>
      <c r="F69" s="2">
        <v>5</v>
      </c>
      <c r="G69">
        <f t="shared" si="3"/>
        <v>4.8450537634408608</v>
      </c>
      <c r="H69">
        <f t="shared" si="4"/>
        <v>-0.15494623655913919</v>
      </c>
      <c r="I69">
        <f t="shared" si="11"/>
        <v>2.4008336223840722E-2</v>
      </c>
    </row>
    <row r="70" spans="1:9" x14ac:dyDescent="0.35">
      <c r="A70" s="2" t="s">
        <v>15</v>
      </c>
      <c r="B70" t="s">
        <v>11</v>
      </c>
      <c r="C70">
        <v>3.23</v>
      </c>
      <c r="D70" s="2">
        <f t="shared" si="10"/>
        <v>3.8450537634408608</v>
      </c>
      <c r="E70">
        <v>-0.55913978494623651</v>
      </c>
      <c r="G70">
        <f t="shared" si="3"/>
        <v>3.8450537634408608</v>
      </c>
      <c r="H70">
        <f t="shared" si="4"/>
        <v>3.8450537634408608</v>
      </c>
    </row>
    <row r="71" spans="1:9" x14ac:dyDescent="0.35">
      <c r="A71" s="2" t="s">
        <v>16</v>
      </c>
      <c r="B71" t="s">
        <v>0</v>
      </c>
      <c r="C71">
        <v>3.23</v>
      </c>
      <c r="D71" s="2">
        <f>C71+E71+$P$6</f>
        <v>2.4926728110599083</v>
      </c>
      <c r="E71">
        <v>0.48847926267281139</v>
      </c>
      <c r="G71">
        <f t="shared" si="3"/>
        <v>2.4926728110599083</v>
      </c>
      <c r="H71">
        <f t="shared" si="4"/>
        <v>2.4926728110599083</v>
      </c>
    </row>
    <row r="72" spans="1:9" x14ac:dyDescent="0.35">
      <c r="A72" s="2" t="s">
        <v>16</v>
      </c>
      <c r="B72" t="s">
        <v>1</v>
      </c>
      <c r="C72">
        <v>3.23</v>
      </c>
      <c r="D72" s="2">
        <f t="shared" ref="D72:D82" si="12">C72+E72+$P$6</f>
        <v>1.4450537634408605</v>
      </c>
      <c r="E72">
        <v>-0.55913978494623651</v>
      </c>
      <c r="F72" s="2">
        <v>1</v>
      </c>
      <c r="G72">
        <f t="shared" si="3"/>
        <v>1.4450537634408605</v>
      </c>
      <c r="H72">
        <f t="shared" si="4"/>
        <v>0.44505376344086045</v>
      </c>
      <c r="I72">
        <f>H72*H72</f>
        <v>0.19807285235287336</v>
      </c>
    </row>
    <row r="73" spans="1:9" x14ac:dyDescent="0.35">
      <c r="A73" s="2" t="s">
        <v>16</v>
      </c>
      <c r="B73" t="s">
        <v>2</v>
      </c>
      <c r="C73">
        <v>3.23</v>
      </c>
      <c r="D73" s="2">
        <f t="shared" si="12"/>
        <v>2.378387096774194</v>
      </c>
      <c r="E73">
        <v>0.37419354838709706</v>
      </c>
      <c r="G73">
        <f t="shared" si="3"/>
        <v>2.378387096774194</v>
      </c>
      <c r="H73">
        <f t="shared" si="4"/>
        <v>2.378387096774194</v>
      </c>
    </row>
    <row r="74" spans="1:9" x14ac:dyDescent="0.35">
      <c r="A74" s="2" t="s">
        <v>16</v>
      </c>
      <c r="B74" t="s">
        <v>3</v>
      </c>
      <c r="C74">
        <v>3.23</v>
      </c>
      <c r="D74" s="2">
        <f t="shared" si="12"/>
        <v>2.7783870967741935</v>
      </c>
      <c r="E74">
        <v>0.77419354838709697</v>
      </c>
      <c r="G74">
        <f t="shared" si="3"/>
        <v>2.7783870967741935</v>
      </c>
      <c r="H74">
        <f t="shared" si="4"/>
        <v>2.7783870967741935</v>
      </c>
    </row>
    <row r="75" spans="1:9" x14ac:dyDescent="0.35">
      <c r="A75" s="2" t="s">
        <v>16</v>
      </c>
      <c r="B75" t="s">
        <v>4</v>
      </c>
      <c r="C75">
        <v>3.23</v>
      </c>
      <c r="D75" s="2">
        <f t="shared" si="12"/>
        <v>2.2783870967741939</v>
      </c>
      <c r="E75">
        <v>0.27419354838709697</v>
      </c>
      <c r="G75">
        <f t="shared" si="3"/>
        <v>2.2783870967741939</v>
      </c>
      <c r="H75">
        <f t="shared" si="4"/>
        <v>2.2783870967741939</v>
      </c>
    </row>
    <row r="76" spans="1:9" x14ac:dyDescent="0.35">
      <c r="A76" s="2" t="s">
        <v>16</v>
      </c>
      <c r="B76" t="s">
        <v>5</v>
      </c>
      <c r="C76">
        <v>3.23</v>
      </c>
      <c r="D76" s="2">
        <f t="shared" si="12"/>
        <v>0.77838709677419393</v>
      </c>
      <c r="E76">
        <v>-1.225806451612903</v>
      </c>
      <c r="F76" s="2">
        <v>2</v>
      </c>
      <c r="G76">
        <f t="shared" si="3"/>
        <v>0.77838709677419393</v>
      </c>
      <c r="H76">
        <f t="shared" si="4"/>
        <v>-1.2216129032258061</v>
      </c>
      <c r="I76">
        <f>H76*H76</f>
        <v>1.4923380853277826</v>
      </c>
    </row>
    <row r="77" spans="1:9" x14ac:dyDescent="0.35">
      <c r="A77" s="2" t="s">
        <v>16</v>
      </c>
      <c r="B77" t="s">
        <v>6</v>
      </c>
      <c r="C77">
        <v>3.23</v>
      </c>
      <c r="D77" s="2">
        <f t="shared" si="12"/>
        <v>2.2783870967741939</v>
      </c>
      <c r="E77">
        <v>0.27419354838709697</v>
      </c>
      <c r="G77">
        <f t="shared" si="3"/>
        <v>2.2783870967741939</v>
      </c>
      <c r="H77">
        <f t="shared" si="4"/>
        <v>2.2783870967741939</v>
      </c>
    </row>
    <row r="78" spans="1:9" x14ac:dyDescent="0.35">
      <c r="A78" s="2" t="s">
        <v>16</v>
      </c>
      <c r="B78" t="s">
        <v>7</v>
      </c>
      <c r="C78">
        <v>3.23</v>
      </c>
      <c r="D78" s="2">
        <f t="shared" si="12"/>
        <v>2.7783870967741935</v>
      </c>
      <c r="E78">
        <v>0.77419354838709697</v>
      </c>
      <c r="G78">
        <f t="shared" si="3"/>
        <v>2.7783870967741935</v>
      </c>
      <c r="H78">
        <f t="shared" si="4"/>
        <v>2.7783870967741935</v>
      </c>
    </row>
    <row r="79" spans="1:9" x14ac:dyDescent="0.35">
      <c r="A79" s="2" t="s">
        <v>16</v>
      </c>
      <c r="B79" t="s">
        <v>8</v>
      </c>
      <c r="C79">
        <v>3.23</v>
      </c>
      <c r="D79" s="2">
        <f t="shared" si="12"/>
        <v>1.7783870967741939</v>
      </c>
      <c r="E79">
        <v>-0.22580645161290303</v>
      </c>
      <c r="G79">
        <f t="shared" si="3"/>
        <v>1.7783870967741939</v>
      </c>
      <c r="H79">
        <f t="shared" si="4"/>
        <v>1.7783870967741939</v>
      </c>
    </row>
    <row r="80" spans="1:9" x14ac:dyDescent="0.35">
      <c r="A80" s="2" t="s">
        <v>16</v>
      </c>
      <c r="B80" t="s">
        <v>9</v>
      </c>
      <c r="C80">
        <v>3.23</v>
      </c>
      <c r="D80" s="2">
        <f t="shared" si="12"/>
        <v>1.4033870967741939</v>
      </c>
      <c r="E80">
        <v>-0.60080645161290303</v>
      </c>
      <c r="F80" s="2">
        <v>2</v>
      </c>
      <c r="G80">
        <f t="shared" si="3"/>
        <v>1.4033870967741939</v>
      </c>
      <c r="H80">
        <f t="shared" si="4"/>
        <v>-0.59661290322580607</v>
      </c>
      <c r="I80">
        <f t="shared" ref="I80:I81" si="13">H80*H80</f>
        <v>0.35594695629552503</v>
      </c>
    </row>
    <row r="81" spans="1:9" x14ac:dyDescent="0.35">
      <c r="A81" s="2" t="s">
        <v>16</v>
      </c>
      <c r="B81" t="s">
        <v>10</v>
      </c>
      <c r="C81">
        <v>3.23</v>
      </c>
      <c r="D81" s="2">
        <f t="shared" si="12"/>
        <v>2.4450537634408605</v>
      </c>
      <c r="E81">
        <v>0.44086021505376349</v>
      </c>
      <c r="F81" s="2">
        <v>3</v>
      </c>
      <c r="G81">
        <f t="shared" si="3"/>
        <v>2.4450537634408605</v>
      </c>
      <c r="H81">
        <f t="shared" si="4"/>
        <v>-0.55494623655913955</v>
      </c>
      <c r="I81">
        <f t="shared" si="13"/>
        <v>0.30796532547115246</v>
      </c>
    </row>
    <row r="82" spans="1:9" x14ac:dyDescent="0.35">
      <c r="A82" s="2" t="s">
        <v>16</v>
      </c>
      <c r="B82" t="s">
        <v>11</v>
      </c>
      <c r="C82">
        <v>3.23</v>
      </c>
      <c r="D82" s="2">
        <f t="shared" si="12"/>
        <v>1.4450537634408605</v>
      </c>
      <c r="E82">
        <v>-0.55913978494623651</v>
      </c>
      <c r="G82">
        <f t="shared" si="3"/>
        <v>1.4450537634408605</v>
      </c>
      <c r="H82">
        <f t="shared" si="4"/>
        <v>1.4450537634408605</v>
      </c>
    </row>
    <row r="83" spans="1:9" x14ac:dyDescent="0.35">
      <c r="A83" s="2" t="s">
        <v>18</v>
      </c>
      <c r="B83" t="s">
        <v>0</v>
      </c>
      <c r="C83">
        <v>3.23</v>
      </c>
      <c r="D83" s="2">
        <f>C83+E83+$P$7</f>
        <v>2.9926728110599083</v>
      </c>
      <c r="E83">
        <v>0.48847926267281139</v>
      </c>
      <c r="G83">
        <f t="shared" si="3"/>
        <v>2.9926728110599083</v>
      </c>
      <c r="H83">
        <f t="shared" si="4"/>
        <v>2.9926728110599083</v>
      </c>
    </row>
    <row r="84" spans="1:9" x14ac:dyDescent="0.35">
      <c r="A84" s="2" t="s">
        <v>18</v>
      </c>
      <c r="B84" t="s">
        <v>1</v>
      </c>
      <c r="C84">
        <v>3.23</v>
      </c>
      <c r="D84" s="2">
        <f t="shared" ref="D84:D95" si="14">C84+E84+$P$7</f>
        <v>1.9450537634408605</v>
      </c>
      <c r="E84">
        <v>-0.55913978494623651</v>
      </c>
      <c r="G84">
        <f t="shared" si="3"/>
        <v>1.9450537634408605</v>
      </c>
      <c r="H84">
        <f t="shared" si="4"/>
        <v>1.9450537634408605</v>
      </c>
    </row>
    <row r="85" spans="1:9" x14ac:dyDescent="0.35">
      <c r="A85" s="2" t="s">
        <v>18</v>
      </c>
      <c r="B85" t="s">
        <v>2</v>
      </c>
      <c r="C85">
        <v>3.23</v>
      </c>
      <c r="D85" s="2">
        <f t="shared" si="14"/>
        <v>2.878387096774194</v>
      </c>
      <c r="E85">
        <v>0.37419354838709706</v>
      </c>
      <c r="G85">
        <f t="shared" si="3"/>
        <v>2.878387096774194</v>
      </c>
      <c r="H85">
        <f t="shared" si="4"/>
        <v>2.878387096774194</v>
      </c>
    </row>
    <row r="86" spans="1:9" x14ac:dyDescent="0.35">
      <c r="A86" s="2" t="s">
        <v>18</v>
      </c>
      <c r="B86" t="s">
        <v>3</v>
      </c>
      <c r="C86">
        <v>3.23</v>
      </c>
      <c r="D86" s="2">
        <f t="shared" si="14"/>
        <v>3.2783870967741935</v>
      </c>
      <c r="E86">
        <v>0.77419354838709697</v>
      </c>
      <c r="G86">
        <f t="shared" si="3"/>
        <v>3.2783870967741935</v>
      </c>
      <c r="H86">
        <f t="shared" si="4"/>
        <v>3.2783870967741935</v>
      </c>
    </row>
    <row r="87" spans="1:9" x14ac:dyDescent="0.35">
      <c r="A87" s="2" t="s">
        <v>18</v>
      </c>
      <c r="B87" t="s">
        <v>4</v>
      </c>
      <c r="C87">
        <v>3.23</v>
      </c>
      <c r="D87" s="2">
        <f t="shared" si="14"/>
        <v>2.7783870967741939</v>
      </c>
      <c r="E87">
        <v>0.27419354838709697</v>
      </c>
      <c r="G87">
        <f t="shared" si="3"/>
        <v>2.7783870967741939</v>
      </c>
      <c r="H87">
        <f t="shared" si="4"/>
        <v>2.7783870967741939</v>
      </c>
    </row>
    <row r="88" spans="1:9" x14ac:dyDescent="0.35">
      <c r="A88" s="2" t="s">
        <v>18</v>
      </c>
      <c r="B88" t="s">
        <v>5</v>
      </c>
      <c r="C88">
        <v>3.23</v>
      </c>
      <c r="D88" s="2">
        <f t="shared" si="14"/>
        <v>1.2783870967741939</v>
      </c>
      <c r="E88">
        <v>-1.225806451612903</v>
      </c>
      <c r="G88">
        <f t="shared" ref="G88:G151" si="15">IF(D88&gt;5,5,D88)</f>
        <v>1.2783870967741939</v>
      </c>
      <c r="H88">
        <f t="shared" ref="H88:H151" si="16">G88-F88</f>
        <v>1.2783870967741939</v>
      </c>
    </row>
    <row r="89" spans="1:9" x14ac:dyDescent="0.35">
      <c r="A89" s="2" t="s">
        <v>18</v>
      </c>
      <c r="B89" t="s">
        <v>6</v>
      </c>
      <c r="C89">
        <v>3.23</v>
      </c>
      <c r="D89" s="2">
        <f t="shared" si="14"/>
        <v>2.7783870967741939</v>
      </c>
      <c r="E89">
        <v>0.27419354838709697</v>
      </c>
      <c r="G89">
        <f t="shared" si="15"/>
        <v>2.7783870967741939</v>
      </c>
      <c r="H89">
        <f t="shared" si="16"/>
        <v>2.7783870967741939</v>
      </c>
    </row>
    <row r="90" spans="1:9" x14ac:dyDescent="0.35">
      <c r="A90" s="2" t="s">
        <v>18</v>
      </c>
      <c r="B90" t="s">
        <v>7</v>
      </c>
      <c r="C90">
        <v>3.23</v>
      </c>
      <c r="D90" s="2">
        <f t="shared" si="14"/>
        <v>3.2783870967741935</v>
      </c>
      <c r="E90">
        <v>0.77419354838709697</v>
      </c>
      <c r="G90">
        <f t="shared" si="15"/>
        <v>3.2783870967741935</v>
      </c>
      <c r="H90">
        <f t="shared" si="16"/>
        <v>3.2783870967741935</v>
      </c>
    </row>
    <row r="91" spans="1:9" x14ac:dyDescent="0.35">
      <c r="A91" s="2" t="s">
        <v>18</v>
      </c>
      <c r="B91" t="s">
        <v>8</v>
      </c>
      <c r="C91">
        <v>3.23</v>
      </c>
      <c r="D91" s="2">
        <f t="shared" si="14"/>
        <v>2.2783870967741939</v>
      </c>
      <c r="E91">
        <v>-0.22580645161290303</v>
      </c>
      <c r="G91">
        <f t="shared" si="15"/>
        <v>2.2783870967741939</v>
      </c>
      <c r="H91">
        <f t="shared" si="16"/>
        <v>2.2783870967741939</v>
      </c>
    </row>
    <row r="92" spans="1:9" x14ac:dyDescent="0.35">
      <c r="A92" s="2" t="s">
        <v>18</v>
      </c>
      <c r="B92" t="s">
        <v>9</v>
      </c>
      <c r="C92">
        <v>3.23</v>
      </c>
      <c r="D92" s="2">
        <f t="shared" si="14"/>
        <v>1.9033870967741939</v>
      </c>
      <c r="E92">
        <v>-0.60080645161290303</v>
      </c>
      <c r="F92" s="2">
        <v>1</v>
      </c>
      <c r="G92">
        <f t="shared" si="15"/>
        <v>1.9033870967741939</v>
      </c>
      <c r="H92">
        <f t="shared" si="16"/>
        <v>0.90338709677419393</v>
      </c>
      <c r="I92">
        <f t="shared" ref="I92:I93" si="17">H92*H92</f>
        <v>0.81610824661810688</v>
      </c>
    </row>
    <row r="93" spans="1:9" x14ac:dyDescent="0.35">
      <c r="A93" s="2" t="s">
        <v>18</v>
      </c>
      <c r="B93" t="s">
        <v>10</v>
      </c>
      <c r="C93">
        <v>3.23</v>
      </c>
      <c r="D93" s="2">
        <f t="shared" si="14"/>
        <v>2.9450537634408605</v>
      </c>
      <c r="E93">
        <v>0.44086021505376349</v>
      </c>
      <c r="F93" s="2">
        <v>4</v>
      </c>
      <c r="G93">
        <f t="shared" si="15"/>
        <v>2.9450537634408605</v>
      </c>
      <c r="H93">
        <f t="shared" si="16"/>
        <v>-1.0549462365591395</v>
      </c>
      <c r="I93">
        <f t="shared" si="17"/>
        <v>1.1129115620302921</v>
      </c>
    </row>
    <row r="94" spans="1:9" x14ac:dyDescent="0.35">
      <c r="A94" s="2" t="s">
        <v>18</v>
      </c>
      <c r="B94" t="s">
        <v>11</v>
      </c>
      <c r="C94">
        <v>3.23</v>
      </c>
      <c r="D94" s="2">
        <f t="shared" si="14"/>
        <v>1.9450537634408605</v>
      </c>
      <c r="E94">
        <v>-0.55913978494623651</v>
      </c>
      <c r="G94">
        <f t="shared" si="15"/>
        <v>1.9450537634408605</v>
      </c>
      <c r="H94">
        <f t="shared" si="16"/>
        <v>1.9450537634408605</v>
      </c>
    </row>
    <row r="95" spans="1:9" x14ac:dyDescent="0.35">
      <c r="A95" s="2" t="s">
        <v>19</v>
      </c>
      <c r="B95" t="s">
        <v>0</v>
      </c>
      <c r="C95">
        <v>3.23</v>
      </c>
      <c r="D95" s="2">
        <f>C95+E95+$P$8</f>
        <v>3.3260061443932418</v>
      </c>
      <c r="E95">
        <v>0.48847926267281139</v>
      </c>
      <c r="G95">
        <f t="shared" si="15"/>
        <v>3.3260061443932418</v>
      </c>
      <c r="H95">
        <f t="shared" si="16"/>
        <v>3.3260061443932418</v>
      </c>
    </row>
    <row r="96" spans="1:9" x14ac:dyDescent="0.35">
      <c r="A96" s="2" t="s">
        <v>19</v>
      </c>
      <c r="B96" t="s">
        <v>1</v>
      </c>
      <c r="C96">
        <v>3.23</v>
      </c>
      <c r="D96" s="2">
        <f t="shared" ref="D96:D107" si="18">C96+E96+$P$8</f>
        <v>2.2783870967741939</v>
      </c>
      <c r="E96">
        <v>-0.55913978494623651</v>
      </c>
      <c r="F96" s="2">
        <v>3</v>
      </c>
      <c r="G96">
        <f t="shared" si="15"/>
        <v>2.2783870967741939</v>
      </c>
      <c r="H96">
        <f t="shared" si="16"/>
        <v>-0.72161290322580607</v>
      </c>
      <c r="I96">
        <f>H96*H96</f>
        <v>0.5207251821019766</v>
      </c>
    </row>
    <row r="97" spans="1:9" x14ac:dyDescent="0.35">
      <c r="A97" s="2" t="s">
        <v>19</v>
      </c>
      <c r="B97" t="s">
        <v>2</v>
      </c>
      <c r="C97">
        <v>3.23</v>
      </c>
      <c r="D97" s="2">
        <f t="shared" si="18"/>
        <v>3.2117204301075275</v>
      </c>
      <c r="E97">
        <v>0.37419354838709706</v>
      </c>
      <c r="G97">
        <f t="shared" si="15"/>
        <v>3.2117204301075275</v>
      </c>
      <c r="H97">
        <f t="shared" si="16"/>
        <v>3.2117204301075275</v>
      </c>
    </row>
    <row r="98" spans="1:9" x14ac:dyDescent="0.35">
      <c r="A98" s="2" t="s">
        <v>19</v>
      </c>
      <c r="B98" t="s">
        <v>3</v>
      </c>
      <c r="C98">
        <v>3.23</v>
      </c>
      <c r="D98" s="2">
        <f t="shared" si="18"/>
        <v>3.611720430107527</v>
      </c>
      <c r="E98">
        <v>0.77419354838709697</v>
      </c>
      <c r="G98">
        <f t="shared" si="15"/>
        <v>3.611720430107527</v>
      </c>
      <c r="H98">
        <f t="shared" si="16"/>
        <v>3.611720430107527</v>
      </c>
    </row>
    <row r="99" spans="1:9" x14ac:dyDescent="0.35">
      <c r="A99" s="2" t="s">
        <v>19</v>
      </c>
      <c r="B99" t="s">
        <v>4</v>
      </c>
      <c r="C99">
        <v>3.23</v>
      </c>
      <c r="D99" s="2">
        <f t="shared" si="18"/>
        <v>3.1117204301075274</v>
      </c>
      <c r="E99">
        <v>0.27419354838709697</v>
      </c>
      <c r="F99" s="2">
        <v>3</v>
      </c>
      <c r="G99">
        <f t="shared" si="15"/>
        <v>3.1117204301075274</v>
      </c>
      <c r="H99">
        <f t="shared" si="16"/>
        <v>0.11172043010752741</v>
      </c>
      <c r="I99">
        <f>H99*H99</f>
        <v>1.2481454503410918E-2</v>
      </c>
    </row>
    <row r="100" spans="1:9" x14ac:dyDescent="0.35">
      <c r="A100" s="2" t="s">
        <v>19</v>
      </c>
      <c r="B100" t="s">
        <v>5</v>
      </c>
      <c r="C100">
        <v>3.23</v>
      </c>
      <c r="D100" s="2">
        <f t="shared" si="18"/>
        <v>1.6117204301075274</v>
      </c>
      <c r="E100">
        <v>-1.225806451612903</v>
      </c>
      <c r="G100">
        <f t="shared" si="15"/>
        <v>1.6117204301075274</v>
      </c>
      <c r="H100">
        <f t="shared" si="16"/>
        <v>1.6117204301075274</v>
      </c>
    </row>
    <row r="101" spans="1:9" x14ac:dyDescent="0.35">
      <c r="A101" s="2" t="s">
        <v>19</v>
      </c>
      <c r="B101" t="s">
        <v>6</v>
      </c>
      <c r="C101">
        <v>3.23</v>
      </c>
      <c r="D101" s="2">
        <f t="shared" si="18"/>
        <v>3.1117204301075274</v>
      </c>
      <c r="E101">
        <v>0.27419354838709697</v>
      </c>
      <c r="F101" s="2">
        <v>3</v>
      </c>
      <c r="G101">
        <f t="shared" si="15"/>
        <v>3.1117204301075274</v>
      </c>
      <c r="H101">
        <f t="shared" si="16"/>
        <v>0.11172043010752741</v>
      </c>
      <c r="I101">
        <f>H101*H101</f>
        <v>1.2481454503410918E-2</v>
      </c>
    </row>
    <row r="102" spans="1:9" x14ac:dyDescent="0.35">
      <c r="A102" s="2" t="s">
        <v>19</v>
      </c>
      <c r="B102" t="s">
        <v>7</v>
      </c>
      <c r="C102">
        <v>3.23</v>
      </c>
      <c r="D102" s="2">
        <f t="shared" si="18"/>
        <v>3.611720430107527</v>
      </c>
      <c r="E102">
        <v>0.77419354838709697</v>
      </c>
      <c r="G102">
        <f t="shared" si="15"/>
        <v>3.611720430107527</v>
      </c>
      <c r="H102">
        <f t="shared" si="16"/>
        <v>3.611720430107527</v>
      </c>
    </row>
    <row r="103" spans="1:9" x14ac:dyDescent="0.35">
      <c r="A103" s="2" t="s">
        <v>19</v>
      </c>
      <c r="B103" t="s">
        <v>8</v>
      </c>
      <c r="C103">
        <v>3.23</v>
      </c>
      <c r="D103" s="2">
        <f t="shared" si="18"/>
        <v>2.6117204301075274</v>
      </c>
      <c r="E103">
        <v>-0.22580645161290303</v>
      </c>
      <c r="F103" s="2">
        <v>3</v>
      </c>
      <c r="G103">
        <f t="shared" si="15"/>
        <v>2.6117204301075274</v>
      </c>
      <c r="H103">
        <f t="shared" si="16"/>
        <v>-0.38827956989247259</v>
      </c>
      <c r="I103">
        <f>H103*H103</f>
        <v>0.15076102439588351</v>
      </c>
    </row>
    <row r="104" spans="1:9" x14ac:dyDescent="0.35">
      <c r="A104" s="2" t="s">
        <v>19</v>
      </c>
      <c r="B104" t="s">
        <v>9</v>
      </c>
      <c r="C104">
        <v>3.23</v>
      </c>
      <c r="D104" s="2">
        <f t="shared" si="18"/>
        <v>2.2367204301075274</v>
      </c>
      <c r="E104">
        <v>-0.60080645161290303</v>
      </c>
      <c r="G104">
        <f t="shared" si="15"/>
        <v>2.2367204301075274</v>
      </c>
      <c r="H104">
        <f t="shared" si="16"/>
        <v>2.2367204301075274</v>
      </c>
    </row>
    <row r="105" spans="1:9" x14ac:dyDescent="0.35">
      <c r="A105" s="2" t="s">
        <v>19</v>
      </c>
      <c r="B105" t="s">
        <v>10</v>
      </c>
      <c r="C105">
        <v>3.23</v>
      </c>
      <c r="D105" s="2">
        <f t="shared" si="18"/>
        <v>3.2783870967741939</v>
      </c>
      <c r="E105">
        <v>0.44086021505376349</v>
      </c>
      <c r="F105">
        <v>3</v>
      </c>
      <c r="G105">
        <f t="shared" si="15"/>
        <v>3.2783870967741939</v>
      </c>
      <c r="H105">
        <f t="shared" si="16"/>
        <v>0.27838709677419393</v>
      </c>
      <c r="I105">
        <f t="shared" ref="I105:I107" si="19">H105*H105</f>
        <v>7.7499375650364424E-2</v>
      </c>
    </row>
    <row r="106" spans="1:9" x14ac:dyDescent="0.35">
      <c r="A106" s="2" t="s">
        <v>19</v>
      </c>
      <c r="B106" t="s">
        <v>11</v>
      </c>
      <c r="C106">
        <v>3.23</v>
      </c>
      <c r="D106" s="2">
        <f t="shared" si="18"/>
        <v>2.2783870967741939</v>
      </c>
      <c r="E106">
        <v>-0.55913978494623651</v>
      </c>
      <c r="F106" s="2">
        <v>2</v>
      </c>
      <c r="G106">
        <f t="shared" si="15"/>
        <v>2.2783870967741939</v>
      </c>
      <c r="H106">
        <f t="shared" si="16"/>
        <v>0.27838709677419393</v>
      </c>
      <c r="I106">
        <f t="shared" si="19"/>
        <v>7.7499375650364424E-2</v>
      </c>
    </row>
    <row r="107" spans="1:9" x14ac:dyDescent="0.35">
      <c r="A107" s="2" t="s">
        <v>20</v>
      </c>
      <c r="B107" t="s">
        <v>0</v>
      </c>
      <c r="C107">
        <v>3.23</v>
      </c>
      <c r="D107" s="2">
        <f>C107+E107+$P$9</f>
        <v>2.6593394777265749</v>
      </c>
      <c r="E107">
        <v>0.48847926267281139</v>
      </c>
      <c r="F107" s="2">
        <v>1</v>
      </c>
      <c r="G107">
        <f t="shared" si="15"/>
        <v>2.6593394777265749</v>
      </c>
      <c r="H107">
        <f t="shared" si="16"/>
        <v>1.6593394777265749</v>
      </c>
      <c r="I107">
        <f t="shared" si="19"/>
        <v>2.7534075023419025</v>
      </c>
    </row>
    <row r="108" spans="1:9" x14ac:dyDescent="0.35">
      <c r="A108" s="2" t="s">
        <v>20</v>
      </c>
      <c r="B108" t="s">
        <v>1</v>
      </c>
      <c r="C108">
        <v>3.23</v>
      </c>
      <c r="D108" s="2">
        <f t="shared" ref="D108:D119" si="20">C108+E108+$P$9</f>
        <v>1.611720430107527</v>
      </c>
      <c r="E108">
        <v>-0.55913978494623651</v>
      </c>
      <c r="G108">
        <f t="shared" si="15"/>
        <v>1.611720430107527</v>
      </c>
      <c r="H108">
        <f t="shared" si="16"/>
        <v>1.611720430107527</v>
      </c>
    </row>
    <row r="109" spans="1:9" x14ac:dyDescent="0.35">
      <c r="A109" s="2" t="s">
        <v>20</v>
      </c>
      <c r="B109" t="s">
        <v>2</v>
      </c>
      <c r="C109">
        <v>3.23</v>
      </c>
      <c r="D109" s="2">
        <f t="shared" si="20"/>
        <v>2.5450537634408605</v>
      </c>
      <c r="E109">
        <v>0.37419354838709706</v>
      </c>
      <c r="F109" s="2">
        <v>2</v>
      </c>
      <c r="G109">
        <f t="shared" si="15"/>
        <v>2.5450537634408605</v>
      </c>
      <c r="H109">
        <f t="shared" si="16"/>
        <v>0.54505376344086054</v>
      </c>
      <c r="I109">
        <f t="shared" ref="I109:I110" si="21">H109*H109</f>
        <v>0.29708360504104558</v>
      </c>
    </row>
    <row r="110" spans="1:9" x14ac:dyDescent="0.35">
      <c r="A110" s="2" t="s">
        <v>20</v>
      </c>
      <c r="B110" t="s">
        <v>3</v>
      </c>
      <c r="C110">
        <v>3.23</v>
      </c>
      <c r="D110" s="2">
        <f t="shared" si="20"/>
        <v>2.94505376344086</v>
      </c>
      <c r="E110">
        <v>0.77419354838709697</v>
      </c>
      <c r="F110" s="2">
        <v>3</v>
      </c>
      <c r="G110">
        <f t="shared" si="15"/>
        <v>2.94505376344086</v>
      </c>
      <c r="H110">
        <f t="shared" si="16"/>
        <v>-5.4946236559139994E-2</v>
      </c>
      <c r="I110">
        <f t="shared" si="21"/>
        <v>3.0190889120129726E-3</v>
      </c>
    </row>
    <row r="111" spans="1:9" x14ac:dyDescent="0.35">
      <c r="A111" s="2" t="s">
        <v>20</v>
      </c>
      <c r="B111" t="s">
        <v>4</v>
      </c>
      <c r="C111">
        <v>3.23</v>
      </c>
      <c r="D111" s="2">
        <f t="shared" si="20"/>
        <v>2.4450537634408605</v>
      </c>
      <c r="E111">
        <v>0.27419354838709697</v>
      </c>
      <c r="G111">
        <f t="shared" si="15"/>
        <v>2.4450537634408605</v>
      </c>
      <c r="H111">
        <f t="shared" si="16"/>
        <v>2.4450537634408605</v>
      </c>
    </row>
    <row r="112" spans="1:9" x14ac:dyDescent="0.35">
      <c r="A112" s="2" t="s">
        <v>20</v>
      </c>
      <c r="B112" t="s">
        <v>5</v>
      </c>
      <c r="C112">
        <v>3.23</v>
      </c>
      <c r="D112" s="2">
        <f t="shared" si="20"/>
        <v>0.94505376344086045</v>
      </c>
      <c r="E112">
        <v>-1.225806451612903</v>
      </c>
      <c r="F112" s="2">
        <v>2</v>
      </c>
      <c r="G112">
        <f t="shared" si="15"/>
        <v>0.94505376344086045</v>
      </c>
      <c r="H112">
        <f t="shared" si="16"/>
        <v>-1.0549462365591395</v>
      </c>
      <c r="I112">
        <f>H112*H112</f>
        <v>1.1129115620302921</v>
      </c>
    </row>
    <row r="113" spans="1:9" x14ac:dyDescent="0.35">
      <c r="A113" s="2" t="s">
        <v>20</v>
      </c>
      <c r="B113" t="s">
        <v>6</v>
      </c>
      <c r="C113">
        <v>3.23</v>
      </c>
      <c r="D113" s="2">
        <f t="shared" si="20"/>
        <v>2.4450537634408605</v>
      </c>
      <c r="E113">
        <v>0.27419354838709697</v>
      </c>
      <c r="G113">
        <f t="shared" si="15"/>
        <v>2.4450537634408605</v>
      </c>
      <c r="H113">
        <f t="shared" si="16"/>
        <v>2.4450537634408605</v>
      </c>
    </row>
    <row r="114" spans="1:9" x14ac:dyDescent="0.35">
      <c r="A114" s="2" t="s">
        <v>20</v>
      </c>
      <c r="B114" t="s">
        <v>7</v>
      </c>
      <c r="C114">
        <v>3.23</v>
      </c>
      <c r="D114" s="2">
        <f t="shared" si="20"/>
        <v>2.94505376344086</v>
      </c>
      <c r="E114">
        <v>0.77419354838709697</v>
      </c>
      <c r="F114" s="2">
        <v>3</v>
      </c>
      <c r="G114">
        <f t="shared" si="15"/>
        <v>2.94505376344086</v>
      </c>
      <c r="H114">
        <f t="shared" si="16"/>
        <v>-5.4946236559139994E-2</v>
      </c>
      <c r="I114">
        <f t="shared" ref="I114:I115" si="22">H114*H114</f>
        <v>3.0190889120129726E-3</v>
      </c>
    </row>
    <row r="115" spans="1:9" x14ac:dyDescent="0.35">
      <c r="A115" s="2" t="s">
        <v>20</v>
      </c>
      <c r="B115" t="s">
        <v>8</v>
      </c>
      <c r="C115">
        <v>3.23</v>
      </c>
      <c r="D115" s="2">
        <f t="shared" si="20"/>
        <v>1.9450537634408605</v>
      </c>
      <c r="E115">
        <v>-0.22580645161290303</v>
      </c>
      <c r="F115" s="2">
        <v>2</v>
      </c>
      <c r="G115">
        <f t="shared" si="15"/>
        <v>1.9450537634408605</v>
      </c>
      <c r="H115">
        <f t="shared" si="16"/>
        <v>-5.494623655913955E-2</v>
      </c>
      <c r="I115">
        <f t="shared" si="22"/>
        <v>3.0190889120129236E-3</v>
      </c>
    </row>
    <row r="116" spans="1:9" x14ac:dyDescent="0.35">
      <c r="A116" s="2" t="s">
        <v>20</v>
      </c>
      <c r="B116" t="s">
        <v>9</v>
      </c>
      <c r="C116">
        <v>3.23</v>
      </c>
      <c r="D116" s="2">
        <f t="shared" si="20"/>
        <v>1.5700537634408605</v>
      </c>
      <c r="E116">
        <v>-0.60080645161290303</v>
      </c>
      <c r="G116">
        <f t="shared" si="15"/>
        <v>1.5700537634408605</v>
      </c>
      <c r="H116">
        <f t="shared" si="16"/>
        <v>1.5700537634408605</v>
      </c>
    </row>
    <row r="117" spans="1:9" x14ac:dyDescent="0.35">
      <c r="A117" s="2" t="s">
        <v>20</v>
      </c>
      <c r="B117" t="s">
        <v>10</v>
      </c>
      <c r="C117">
        <v>3.23</v>
      </c>
      <c r="D117" s="2">
        <f t="shared" si="20"/>
        <v>2.611720430107527</v>
      </c>
      <c r="E117">
        <v>0.44086021505376349</v>
      </c>
      <c r="G117">
        <f t="shared" si="15"/>
        <v>2.611720430107527</v>
      </c>
      <c r="H117">
        <f t="shared" si="16"/>
        <v>2.611720430107527</v>
      </c>
    </row>
    <row r="118" spans="1:9" x14ac:dyDescent="0.35">
      <c r="A118" s="2" t="s">
        <v>20</v>
      </c>
      <c r="B118" t="s">
        <v>11</v>
      </c>
      <c r="C118">
        <v>3.23</v>
      </c>
      <c r="D118" s="2">
        <f t="shared" si="20"/>
        <v>1.611720430107527</v>
      </c>
      <c r="E118">
        <v>-0.55913978494623651</v>
      </c>
      <c r="G118">
        <f t="shared" si="15"/>
        <v>1.611720430107527</v>
      </c>
      <c r="H118">
        <f t="shared" si="16"/>
        <v>1.611720430107527</v>
      </c>
    </row>
    <row r="119" spans="1:9" x14ac:dyDescent="0.35">
      <c r="A119" s="2" t="s">
        <v>21</v>
      </c>
      <c r="B119" t="s">
        <v>0</v>
      </c>
      <c r="C119">
        <v>3.23</v>
      </c>
      <c r="D119" s="2">
        <f>C119+E119+$P$10</f>
        <v>2.4926728110599083</v>
      </c>
      <c r="E119">
        <v>0.48847926267281139</v>
      </c>
      <c r="G119">
        <f t="shared" si="15"/>
        <v>2.4926728110599083</v>
      </c>
      <c r="H119">
        <f t="shared" si="16"/>
        <v>2.4926728110599083</v>
      </c>
    </row>
    <row r="120" spans="1:9" x14ac:dyDescent="0.35">
      <c r="A120" s="2" t="s">
        <v>21</v>
      </c>
      <c r="B120" t="s">
        <v>1</v>
      </c>
      <c r="C120">
        <v>3.23</v>
      </c>
      <c r="D120" s="2">
        <f t="shared" ref="D120:D131" si="23">C120+E120+$P$10</f>
        <v>1.4450537634408605</v>
      </c>
      <c r="E120">
        <v>-0.55913978494623651</v>
      </c>
      <c r="G120">
        <f t="shared" si="15"/>
        <v>1.4450537634408605</v>
      </c>
      <c r="H120">
        <f t="shared" si="16"/>
        <v>1.4450537634408605</v>
      </c>
    </row>
    <row r="121" spans="1:9" x14ac:dyDescent="0.35">
      <c r="A121" s="2" t="s">
        <v>21</v>
      </c>
      <c r="B121" t="s">
        <v>2</v>
      </c>
      <c r="C121">
        <v>3.23</v>
      </c>
      <c r="D121" s="2">
        <f t="shared" si="23"/>
        <v>2.378387096774194</v>
      </c>
      <c r="E121">
        <v>0.37419354838709706</v>
      </c>
      <c r="F121" s="2">
        <v>3</v>
      </c>
      <c r="G121">
        <f t="shared" si="15"/>
        <v>2.378387096774194</v>
      </c>
      <c r="H121">
        <f t="shared" si="16"/>
        <v>-0.62161290322580598</v>
      </c>
      <c r="I121">
        <f>H121*H121</f>
        <v>0.38640260145681521</v>
      </c>
    </row>
    <row r="122" spans="1:9" x14ac:dyDescent="0.35">
      <c r="A122" s="2" t="s">
        <v>21</v>
      </c>
      <c r="B122" t="s">
        <v>3</v>
      </c>
      <c r="C122">
        <v>3.23</v>
      </c>
      <c r="D122" s="2">
        <f t="shared" si="23"/>
        <v>2.7783870967741935</v>
      </c>
      <c r="E122">
        <v>0.77419354838709697</v>
      </c>
      <c r="G122">
        <f t="shared" si="15"/>
        <v>2.7783870967741935</v>
      </c>
      <c r="H122">
        <f t="shared" si="16"/>
        <v>2.7783870967741935</v>
      </c>
    </row>
    <row r="123" spans="1:9" x14ac:dyDescent="0.35">
      <c r="A123" s="2" t="s">
        <v>21</v>
      </c>
      <c r="B123" t="s">
        <v>4</v>
      </c>
      <c r="C123">
        <v>3.23</v>
      </c>
      <c r="D123" s="2">
        <f t="shared" si="23"/>
        <v>2.2783870967741939</v>
      </c>
      <c r="E123">
        <v>0.27419354838709697</v>
      </c>
      <c r="F123" s="2">
        <v>2</v>
      </c>
      <c r="G123">
        <f t="shared" si="15"/>
        <v>2.2783870967741939</v>
      </c>
      <c r="H123">
        <f t="shared" si="16"/>
        <v>0.27838709677419393</v>
      </c>
      <c r="I123">
        <f>H123*H123</f>
        <v>7.7499375650364424E-2</v>
      </c>
    </row>
    <row r="124" spans="1:9" x14ac:dyDescent="0.35">
      <c r="A124" s="2" t="s">
        <v>21</v>
      </c>
      <c r="B124" t="s">
        <v>5</v>
      </c>
      <c r="C124">
        <v>3.23</v>
      </c>
      <c r="D124" s="2">
        <f t="shared" si="23"/>
        <v>0.77838709677419393</v>
      </c>
      <c r="E124">
        <v>-1.225806451612903</v>
      </c>
      <c r="G124">
        <f t="shared" si="15"/>
        <v>0.77838709677419393</v>
      </c>
      <c r="H124">
        <f t="shared" si="16"/>
        <v>0.77838709677419393</v>
      </c>
    </row>
    <row r="125" spans="1:9" x14ac:dyDescent="0.35">
      <c r="A125" s="2" t="s">
        <v>21</v>
      </c>
      <c r="B125" t="s">
        <v>6</v>
      </c>
      <c r="C125">
        <v>3.23</v>
      </c>
      <c r="D125" s="2">
        <f t="shared" si="23"/>
        <v>2.2783870967741939</v>
      </c>
      <c r="E125">
        <v>0.27419354838709697</v>
      </c>
      <c r="F125" s="2">
        <v>2</v>
      </c>
      <c r="G125">
        <f t="shared" si="15"/>
        <v>2.2783870967741939</v>
      </c>
      <c r="H125">
        <f t="shared" si="16"/>
        <v>0.27838709677419393</v>
      </c>
      <c r="I125">
        <f>H125*H125</f>
        <v>7.7499375650364424E-2</v>
      </c>
    </row>
    <row r="126" spans="1:9" x14ac:dyDescent="0.35">
      <c r="A126" s="2" t="s">
        <v>21</v>
      </c>
      <c r="B126" t="s">
        <v>7</v>
      </c>
      <c r="C126">
        <v>3.23</v>
      </c>
      <c r="D126" s="2">
        <f t="shared" si="23"/>
        <v>2.7783870967741935</v>
      </c>
      <c r="E126">
        <v>0.77419354838709697</v>
      </c>
      <c r="G126">
        <f t="shared" si="15"/>
        <v>2.7783870967741935</v>
      </c>
      <c r="H126">
        <f t="shared" si="16"/>
        <v>2.7783870967741935</v>
      </c>
    </row>
    <row r="127" spans="1:9" x14ac:dyDescent="0.35">
      <c r="A127" s="2" t="s">
        <v>21</v>
      </c>
      <c r="B127" t="s">
        <v>8</v>
      </c>
      <c r="C127">
        <v>3.23</v>
      </c>
      <c r="D127" s="2">
        <f>C127+E127+$P$10</f>
        <v>1.7783870967741939</v>
      </c>
      <c r="E127">
        <v>-0.22580645161290303</v>
      </c>
      <c r="G127">
        <f t="shared" si="15"/>
        <v>1.7783870967741939</v>
      </c>
      <c r="H127">
        <f t="shared" si="16"/>
        <v>1.7783870967741939</v>
      </c>
    </row>
    <row r="128" spans="1:9" x14ac:dyDescent="0.35">
      <c r="A128" s="2" t="s">
        <v>21</v>
      </c>
      <c r="B128" t="s">
        <v>9</v>
      </c>
      <c r="C128">
        <v>3.23</v>
      </c>
      <c r="D128" s="2">
        <f t="shared" si="23"/>
        <v>1.4033870967741939</v>
      </c>
      <c r="E128">
        <v>-0.60080645161290303</v>
      </c>
      <c r="F128" s="2">
        <v>1</v>
      </c>
      <c r="G128">
        <f t="shared" si="15"/>
        <v>1.4033870967741939</v>
      </c>
      <c r="H128">
        <f t="shared" si="16"/>
        <v>0.40338709677419393</v>
      </c>
      <c r="I128">
        <f>H128*H128</f>
        <v>0.16272114984391289</v>
      </c>
    </row>
    <row r="129" spans="1:9" x14ac:dyDescent="0.35">
      <c r="A129" s="2" t="s">
        <v>21</v>
      </c>
      <c r="B129" t="s">
        <v>10</v>
      </c>
      <c r="C129">
        <v>3.23</v>
      </c>
      <c r="D129" s="2">
        <f t="shared" si="23"/>
        <v>2.4450537634408605</v>
      </c>
      <c r="E129">
        <v>0.44086021505376349</v>
      </c>
      <c r="G129">
        <f t="shared" si="15"/>
        <v>2.4450537634408605</v>
      </c>
      <c r="H129">
        <f t="shared" si="16"/>
        <v>2.4450537634408605</v>
      </c>
    </row>
    <row r="130" spans="1:9" x14ac:dyDescent="0.35">
      <c r="A130" s="2" t="s">
        <v>21</v>
      </c>
      <c r="B130" t="s">
        <v>11</v>
      </c>
      <c r="C130">
        <v>3.23</v>
      </c>
      <c r="D130" s="2">
        <f t="shared" si="23"/>
        <v>1.4450537634408605</v>
      </c>
      <c r="E130">
        <v>-0.55913978494623651</v>
      </c>
      <c r="G130">
        <f t="shared" si="15"/>
        <v>1.4450537634408605</v>
      </c>
      <c r="H130">
        <f t="shared" si="16"/>
        <v>1.4450537634408605</v>
      </c>
    </row>
    <row r="131" spans="1:9" x14ac:dyDescent="0.35">
      <c r="A131" s="2" t="s">
        <v>22</v>
      </c>
      <c r="B131" t="s">
        <v>0</v>
      </c>
      <c r="C131">
        <v>3.23</v>
      </c>
      <c r="D131" s="2">
        <f>C131+E131+$P$11</f>
        <v>3.9926728110599083</v>
      </c>
      <c r="E131">
        <v>0.48847926267281139</v>
      </c>
      <c r="F131" s="2">
        <v>4</v>
      </c>
      <c r="G131">
        <f t="shared" si="15"/>
        <v>3.9926728110599083</v>
      </c>
      <c r="H131">
        <f t="shared" si="16"/>
        <v>-7.3271889400916557E-3</v>
      </c>
      <c r="I131">
        <f>H131*H131</f>
        <v>5.368769776380148E-5</v>
      </c>
    </row>
    <row r="132" spans="1:9" x14ac:dyDescent="0.35">
      <c r="A132" s="2" t="s">
        <v>22</v>
      </c>
      <c r="B132" t="s">
        <v>1</v>
      </c>
      <c r="C132">
        <v>3.23</v>
      </c>
      <c r="D132" s="2">
        <f t="shared" ref="D132:D143" si="24">C132+E132+$P$11</f>
        <v>2.9450537634408605</v>
      </c>
      <c r="E132">
        <v>-0.55913978494623651</v>
      </c>
      <c r="G132">
        <f t="shared" si="15"/>
        <v>2.9450537634408605</v>
      </c>
      <c r="H132">
        <f t="shared" si="16"/>
        <v>2.9450537634408605</v>
      </c>
    </row>
    <row r="133" spans="1:9" x14ac:dyDescent="0.35">
      <c r="A133" s="2" t="s">
        <v>22</v>
      </c>
      <c r="B133" t="s">
        <v>2</v>
      </c>
      <c r="C133">
        <v>3.23</v>
      </c>
      <c r="D133" s="2">
        <f t="shared" si="24"/>
        <v>3.878387096774194</v>
      </c>
      <c r="E133">
        <v>0.37419354838709706</v>
      </c>
      <c r="G133">
        <f t="shared" si="15"/>
        <v>3.878387096774194</v>
      </c>
      <c r="H133">
        <f t="shared" si="16"/>
        <v>3.878387096774194</v>
      </c>
    </row>
    <row r="134" spans="1:9" x14ac:dyDescent="0.35">
      <c r="A134" s="2" t="s">
        <v>22</v>
      </c>
      <c r="B134" t="s">
        <v>3</v>
      </c>
      <c r="C134">
        <v>3.23</v>
      </c>
      <c r="D134" s="2">
        <f t="shared" si="24"/>
        <v>4.2783870967741935</v>
      </c>
      <c r="E134">
        <v>0.77419354838709697</v>
      </c>
      <c r="G134">
        <f t="shared" si="15"/>
        <v>4.2783870967741935</v>
      </c>
      <c r="H134">
        <f t="shared" si="16"/>
        <v>4.2783870967741935</v>
      </c>
    </row>
    <row r="135" spans="1:9" x14ac:dyDescent="0.35">
      <c r="A135" s="2" t="s">
        <v>22</v>
      </c>
      <c r="B135" t="s">
        <v>4</v>
      </c>
      <c r="C135">
        <v>3.23</v>
      </c>
      <c r="D135" s="2">
        <f t="shared" si="24"/>
        <v>3.7783870967741939</v>
      </c>
      <c r="E135">
        <v>0.27419354838709697</v>
      </c>
      <c r="G135">
        <f t="shared" si="15"/>
        <v>3.7783870967741939</v>
      </c>
      <c r="H135">
        <f t="shared" si="16"/>
        <v>3.7783870967741939</v>
      </c>
    </row>
    <row r="136" spans="1:9" x14ac:dyDescent="0.35">
      <c r="A136" s="2" t="s">
        <v>22</v>
      </c>
      <c r="B136" t="s">
        <v>5</v>
      </c>
      <c r="C136">
        <v>3.23</v>
      </c>
      <c r="D136" s="2">
        <f t="shared" si="24"/>
        <v>2.2783870967741939</v>
      </c>
      <c r="E136">
        <v>-1.225806451612903</v>
      </c>
      <c r="G136">
        <f t="shared" si="15"/>
        <v>2.2783870967741939</v>
      </c>
      <c r="H136">
        <f t="shared" si="16"/>
        <v>2.2783870967741939</v>
      </c>
    </row>
    <row r="137" spans="1:9" x14ac:dyDescent="0.35">
      <c r="A137" s="2" t="s">
        <v>22</v>
      </c>
      <c r="B137" t="s">
        <v>6</v>
      </c>
      <c r="C137">
        <v>3.23</v>
      </c>
      <c r="D137" s="2">
        <f t="shared" si="24"/>
        <v>3.7783870967741939</v>
      </c>
      <c r="E137">
        <v>0.27419354838709697</v>
      </c>
      <c r="G137">
        <f t="shared" si="15"/>
        <v>3.7783870967741939</v>
      </c>
      <c r="H137">
        <f t="shared" si="16"/>
        <v>3.7783870967741939</v>
      </c>
    </row>
    <row r="138" spans="1:9" x14ac:dyDescent="0.35">
      <c r="A138" s="2" t="s">
        <v>22</v>
      </c>
      <c r="B138" t="s">
        <v>7</v>
      </c>
      <c r="C138">
        <v>3.23</v>
      </c>
      <c r="D138" s="2">
        <f t="shared" si="24"/>
        <v>4.2783870967741935</v>
      </c>
      <c r="E138">
        <v>0.77419354838709697</v>
      </c>
      <c r="G138">
        <f t="shared" si="15"/>
        <v>4.2783870967741935</v>
      </c>
      <c r="H138">
        <f t="shared" si="16"/>
        <v>4.2783870967741935</v>
      </c>
    </row>
    <row r="139" spans="1:9" x14ac:dyDescent="0.35">
      <c r="A139" s="2" t="s">
        <v>22</v>
      </c>
      <c r="B139" t="s">
        <v>8</v>
      </c>
      <c r="C139">
        <v>3.23</v>
      </c>
      <c r="D139" s="2">
        <f t="shared" si="24"/>
        <v>3.2783870967741939</v>
      </c>
      <c r="E139">
        <v>-0.22580645161290303</v>
      </c>
      <c r="G139">
        <f t="shared" si="15"/>
        <v>3.2783870967741939</v>
      </c>
      <c r="H139">
        <f t="shared" si="16"/>
        <v>3.2783870967741939</v>
      </c>
    </row>
    <row r="140" spans="1:9" x14ac:dyDescent="0.35">
      <c r="A140" s="2" t="s">
        <v>22</v>
      </c>
      <c r="B140" t="s">
        <v>9</v>
      </c>
      <c r="C140">
        <v>3.23</v>
      </c>
      <c r="D140" s="2">
        <f t="shared" si="24"/>
        <v>2.9033870967741939</v>
      </c>
      <c r="E140">
        <v>-0.60080645161290303</v>
      </c>
      <c r="G140">
        <f t="shared" si="15"/>
        <v>2.9033870967741939</v>
      </c>
      <c r="H140">
        <f t="shared" si="16"/>
        <v>2.9033870967741939</v>
      </c>
    </row>
    <row r="141" spans="1:9" x14ac:dyDescent="0.35">
      <c r="A141" s="2" t="s">
        <v>22</v>
      </c>
      <c r="B141" t="s">
        <v>10</v>
      </c>
      <c r="C141">
        <v>3.23</v>
      </c>
      <c r="D141" s="2">
        <f t="shared" si="24"/>
        <v>3.9450537634408605</v>
      </c>
      <c r="E141">
        <v>0.44086021505376349</v>
      </c>
      <c r="F141" s="2">
        <v>3</v>
      </c>
      <c r="G141">
        <f t="shared" si="15"/>
        <v>3.9450537634408605</v>
      </c>
      <c r="H141">
        <f t="shared" si="16"/>
        <v>0.94505376344086045</v>
      </c>
      <c r="I141">
        <f>H141*H141</f>
        <v>0.89312661579373387</v>
      </c>
    </row>
    <row r="142" spans="1:9" x14ac:dyDescent="0.35">
      <c r="A142" s="2" t="s">
        <v>22</v>
      </c>
      <c r="B142" t="s">
        <v>11</v>
      </c>
      <c r="C142">
        <v>3.23</v>
      </c>
      <c r="D142" s="2">
        <f t="shared" si="24"/>
        <v>2.9450537634408605</v>
      </c>
      <c r="E142">
        <v>-0.55913978494623651</v>
      </c>
      <c r="G142">
        <f t="shared" si="15"/>
        <v>2.9450537634408605</v>
      </c>
      <c r="H142">
        <f t="shared" si="16"/>
        <v>2.9450537634408605</v>
      </c>
    </row>
    <row r="143" spans="1:9" x14ac:dyDescent="0.35">
      <c r="A143" s="2" t="s">
        <v>23</v>
      </c>
      <c r="B143" t="s">
        <v>0</v>
      </c>
      <c r="C143">
        <v>3.23</v>
      </c>
      <c r="D143" s="2">
        <f>C143+E143+$P$12</f>
        <v>3.9926728110599083</v>
      </c>
      <c r="E143">
        <v>0.48847926267281139</v>
      </c>
      <c r="G143">
        <f t="shared" si="15"/>
        <v>3.9926728110599083</v>
      </c>
      <c r="H143">
        <f t="shared" si="16"/>
        <v>3.9926728110599083</v>
      </c>
    </row>
    <row r="144" spans="1:9" x14ac:dyDescent="0.35">
      <c r="A144" s="2" t="s">
        <v>23</v>
      </c>
      <c r="B144" t="s">
        <v>1</v>
      </c>
      <c r="C144">
        <v>3.23</v>
      </c>
      <c r="D144" s="2">
        <f t="shared" ref="D144:D155" si="25">C144+E144+$P$12</f>
        <v>2.9450537634408605</v>
      </c>
      <c r="E144">
        <v>-0.55913978494623651</v>
      </c>
      <c r="G144">
        <f t="shared" si="15"/>
        <v>2.9450537634408605</v>
      </c>
      <c r="H144">
        <f t="shared" si="16"/>
        <v>2.9450537634408605</v>
      </c>
    </row>
    <row r="145" spans="1:9" x14ac:dyDescent="0.35">
      <c r="A145" s="2" t="s">
        <v>23</v>
      </c>
      <c r="B145" t="s">
        <v>2</v>
      </c>
      <c r="C145">
        <v>3.23</v>
      </c>
      <c r="D145" s="2">
        <f t="shared" si="25"/>
        <v>3.878387096774194</v>
      </c>
      <c r="E145">
        <v>0.37419354838709706</v>
      </c>
      <c r="G145">
        <f t="shared" si="15"/>
        <v>3.878387096774194</v>
      </c>
      <c r="H145">
        <f t="shared" si="16"/>
        <v>3.878387096774194</v>
      </c>
    </row>
    <row r="146" spans="1:9" x14ac:dyDescent="0.35">
      <c r="A146" s="2" t="s">
        <v>23</v>
      </c>
      <c r="B146" t="s">
        <v>3</v>
      </c>
      <c r="C146">
        <v>3.23</v>
      </c>
      <c r="D146" s="2">
        <f t="shared" si="25"/>
        <v>4.2783870967741935</v>
      </c>
      <c r="E146">
        <v>0.77419354838709697</v>
      </c>
      <c r="G146">
        <f t="shared" si="15"/>
        <v>4.2783870967741935</v>
      </c>
      <c r="H146">
        <f t="shared" si="16"/>
        <v>4.2783870967741935</v>
      </c>
    </row>
    <row r="147" spans="1:9" x14ac:dyDescent="0.35">
      <c r="A147" s="2" t="s">
        <v>23</v>
      </c>
      <c r="B147" t="s">
        <v>4</v>
      </c>
      <c r="C147">
        <v>3.23</v>
      </c>
      <c r="D147" s="2">
        <f t="shared" si="25"/>
        <v>3.7783870967741939</v>
      </c>
      <c r="E147">
        <v>0.27419354838709697</v>
      </c>
      <c r="G147">
        <f t="shared" si="15"/>
        <v>3.7783870967741939</v>
      </c>
      <c r="H147">
        <f t="shared" si="16"/>
        <v>3.7783870967741939</v>
      </c>
    </row>
    <row r="148" spans="1:9" x14ac:dyDescent="0.35">
      <c r="A148" s="2" t="s">
        <v>23</v>
      </c>
      <c r="B148" t="s">
        <v>5</v>
      </c>
      <c r="C148">
        <v>3.23</v>
      </c>
      <c r="D148" s="2">
        <f t="shared" si="25"/>
        <v>2.2783870967741939</v>
      </c>
      <c r="E148">
        <v>-1.225806451612903</v>
      </c>
      <c r="G148">
        <f t="shared" si="15"/>
        <v>2.2783870967741939</v>
      </c>
      <c r="H148">
        <f t="shared" si="16"/>
        <v>2.2783870967741939</v>
      </c>
    </row>
    <row r="149" spans="1:9" x14ac:dyDescent="0.35">
      <c r="A149" s="2" t="s">
        <v>23</v>
      </c>
      <c r="B149" t="s">
        <v>6</v>
      </c>
      <c r="C149">
        <v>3.23</v>
      </c>
      <c r="D149" s="2">
        <f t="shared" si="25"/>
        <v>3.7783870967741939</v>
      </c>
      <c r="E149">
        <v>0.27419354838709697</v>
      </c>
      <c r="G149">
        <f t="shared" si="15"/>
        <v>3.7783870967741939</v>
      </c>
      <c r="H149">
        <f t="shared" si="16"/>
        <v>3.7783870967741939</v>
      </c>
    </row>
    <row r="150" spans="1:9" x14ac:dyDescent="0.35">
      <c r="A150" s="2" t="s">
        <v>23</v>
      </c>
      <c r="B150" t="s">
        <v>7</v>
      </c>
      <c r="C150">
        <v>3.23</v>
      </c>
      <c r="D150" s="2">
        <f t="shared" si="25"/>
        <v>4.2783870967741935</v>
      </c>
      <c r="E150">
        <v>0.77419354838709697</v>
      </c>
      <c r="F150" s="2">
        <v>4</v>
      </c>
      <c r="G150">
        <f t="shared" si="15"/>
        <v>4.2783870967741935</v>
      </c>
      <c r="H150">
        <f t="shared" si="16"/>
        <v>0.27838709677419349</v>
      </c>
      <c r="I150">
        <f>H150*H150</f>
        <v>7.7499375650364175E-2</v>
      </c>
    </row>
    <row r="151" spans="1:9" x14ac:dyDescent="0.35">
      <c r="A151" s="2" t="s">
        <v>23</v>
      </c>
      <c r="B151" t="s">
        <v>8</v>
      </c>
      <c r="C151">
        <v>3.23</v>
      </c>
      <c r="D151" s="2">
        <f t="shared" si="25"/>
        <v>3.2783870967741939</v>
      </c>
      <c r="E151">
        <v>-0.22580645161290303</v>
      </c>
      <c r="G151">
        <f t="shared" si="15"/>
        <v>3.2783870967741939</v>
      </c>
      <c r="H151">
        <f t="shared" si="16"/>
        <v>3.2783870967741939</v>
      </c>
    </row>
    <row r="152" spans="1:9" x14ac:dyDescent="0.35">
      <c r="A152" s="2" t="s">
        <v>23</v>
      </c>
      <c r="B152" t="s">
        <v>9</v>
      </c>
      <c r="C152">
        <v>3.23</v>
      </c>
      <c r="D152" s="2">
        <f t="shared" si="25"/>
        <v>2.9033870967741939</v>
      </c>
      <c r="E152">
        <v>-0.60080645161290303</v>
      </c>
      <c r="F152" s="2">
        <v>3</v>
      </c>
      <c r="G152">
        <f t="shared" ref="G152:G214" si="26">IF(D152&gt;5,5,D152)</f>
        <v>2.9033870967741939</v>
      </c>
      <c r="H152">
        <f t="shared" ref="H152:H214" si="27">G152-F152</f>
        <v>-9.6612903225806068E-2</v>
      </c>
      <c r="I152">
        <f>H152*H152</f>
        <v>9.3340530697189686E-3</v>
      </c>
    </row>
    <row r="153" spans="1:9" x14ac:dyDescent="0.35">
      <c r="A153" s="2" t="s">
        <v>23</v>
      </c>
      <c r="B153" t="s">
        <v>10</v>
      </c>
      <c r="C153">
        <v>3.23</v>
      </c>
      <c r="D153" s="2">
        <f t="shared" si="25"/>
        <v>3.9450537634408605</v>
      </c>
      <c r="E153">
        <v>0.44086021505376349</v>
      </c>
      <c r="G153">
        <f t="shared" si="26"/>
        <v>3.9450537634408605</v>
      </c>
      <c r="H153">
        <f t="shared" si="27"/>
        <v>3.9450537634408605</v>
      </c>
    </row>
    <row r="154" spans="1:9" x14ac:dyDescent="0.35">
      <c r="A154" s="2" t="s">
        <v>23</v>
      </c>
      <c r="B154" t="s">
        <v>11</v>
      </c>
      <c r="C154">
        <v>3.23</v>
      </c>
      <c r="D154" s="2">
        <f t="shared" si="25"/>
        <v>2.9450537634408605</v>
      </c>
      <c r="E154">
        <v>-0.55913978494623651</v>
      </c>
      <c r="G154">
        <f t="shared" si="26"/>
        <v>2.9450537634408605</v>
      </c>
      <c r="H154">
        <f t="shared" si="27"/>
        <v>2.9450537634408605</v>
      </c>
    </row>
    <row r="155" spans="1:9" x14ac:dyDescent="0.35">
      <c r="A155" s="2" t="s">
        <v>24</v>
      </c>
      <c r="B155" t="s">
        <v>0</v>
      </c>
      <c r="C155">
        <v>3.23</v>
      </c>
      <c r="D155" s="2">
        <f>C155+E155+$P$13</f>
        <v>4.8926728110599083</v>
      </c>
      <c r="E155">
        <v>0.48847926267281139</v>
      </c>
      <c r="F155" s="2">
        <v>5</v>
      </c>
      <c r="G155">
        <f t="shared" si="26"/>
        <v>4.8926728110599083</v>
      </c>
      <c r="H155">
        <f t="shared" si="27"/>
        <v>-0.10732718894009174</v>
      </c>
      <c r="I155">
        <f t="shared" ref="I155:I156" si="28">H155*H155</f>
        <v>1.1519125485782152E-2</v>
      </c>
    </row>
    <row r="156" spans="1:9" x14ac:dyDescent="0.35">
      <c r="A156" s="2" t="s">
        <v>24</v>
      </c>
      <c r="B156" t="s">
        <v>1</v>
      </c>
      <c r="C156">
        <v>3.23</v>
      </c>
      <c r="D156" s="2">
        <f t="shared" ref="D156:D167" si="29">C156+E156+$P$13</f>
        <v>3.8450537634408608</v>
      </c>
      <c r="E156">
        <v>-0.55913978494623651</v>
      </c>
      <c r="F156" s="2">
        <v>3</v>
      </c>
      <c r="G156">
        <f t="shared" si="26"/>
        <v>3.8450537634408608</v>
      </c>
      <c r="H156">
        <f t="shared" si="27"/>
        <v>0.84505376344086081</v>
      </c>
      <c r="I156">
        <f t="shared" si="28"/>
        <v>0.7141158631055623</v>
      </c>
    </row>
    <row r="157" spans="1:9" x14ac:dyDescent="0.35">
      <c r="A157" s="2" t="s">
        <v>24</v>
      </c>
      <c r="B157" t="s">
        <v>2</v>
      </c>
      <c r="C157">
        <v>3.23</v>
      </c>
      <c r="D157" s="2">
        <f t="shared" si="29"/>
        <v>4.7783870967741944</v>
      </c>
      <c r="E157">
        <v>0.37419354838709706</v>
      </c>
      <c r="G157">
        <f t="shared" si="26"/>
        <v>4.7783870967741944</v>
      </c>
      <c r="H157">
        <f t="shared" si="27"/>
        <v>4.7783870967741944</v>
      </c>
    </row>
    <row r="158" spans="1:9" x14ac:dyDescent="0.35">
      <c r="A158" s="2" t="s">
        <v>24</v>
      </c>
      <c r="B158" t="s">
        <v>3</v>
      </c>
      <c r="C158">
        <v>3.23</v>
      </c>
      <c r="D158" s="2">
        <f t="shared" si="29"/>
        <v>5.1783870967741938</v>
      </c>
      <c r="E158">
        <v>0.77419354838709697</v>
      </c>
      <c r="F158" s="2">
        <v>5</v>
      </c>
      <c r="G158">
        <f t="shared" si="26"/>
        <v>5</v>
      </c>
      <c r="H158">
        <f t="shared" si="27"/>
        <v>0</v>
      </c>
      <c r="I158">
        <f>H158*H158</f>
        <v>0</v>
      </c>
    </row>
    <row r="159" spans="1:9" x14ac:dyDescent="0.35">
      <c r="A159" s="2" t="s">
        <v>24</v>
      </c>
      <c r="B159" t="s">
        <v>4</v>
      </c>
      <c r="C159">
        <v>3.23</v>
      </c>
      <c r="D159" s="2">
        <f t="shared" si="29"/>
        <v>4.6783870967741947</v>
      </c>
      <c r="E159">
        <v>0.27419354838709697</v>
      </c>
      <c r="G159">
        <f t="shared" si="26"/>
        <v>4.6783870967741947</v>
      </c>
      <c r="H159">
        <f t="shared" si="27"/>
        <v>4.6783870967741947</v>
      </c>
    </row>
    <row r="160" spans="1:9" x14ac:dyDescent="0.35">
      <c r="A160" s="2" t="s">
        <v>24</v>
      </c>
      <c r="B160" t="s">
        <v>5</v>
      </c>
      <c r="C160">
        <v>3.23</v>
      </c>
      <c r="D160" s="2">
        <f t="shared" si="29"/>
        <v>3.1783870967741943</v>
      </c>
      <c r="E160">
        <v>-1.225806451612903</v>
      </c>
      <c r="G160">
        <f t="shared" si="26"/>
        <v>3.1783870967741943</v>
      </c>
      <c r="H160">
        <f t="shared" si="27"/>
        <v>3.1783870967741943</v>
      </c>
    </row>
    <row r="161" spans="1:9" x14ac:dyDescent="0.35">
      <c r="A161" s="2" t="s">
        <v>24</v>
      </c>
      <c r="B161" t="s">
        <v>6</v>
      </c>
      <c r="C161">
        <v>3.23</v>
      </c>
      <c r="D161" s="2">
        <f t="shared" si="29"/>
        <v>4.6783870967741947</v>
      </c>
      <c r="E161">
        <v>0.27419354838709697</v>
      </c>
      <c r="F161" s="2">
        <v>5</v>
      </c>
      <c r="G161">
        <f t="shared" si="26"/>
        <v>4.6783870967741947</v>
      </c>
      <c r="H161">
        <f t="shared" si="27"/>
        <v>-0.32161290322580527</v>
      </c>
      <c r="I161">
        <f>H161*H161</f>
        <v>0.10343485952133119</v>
      </c>
    </row>
    <row r="162" spans="1:9" x14ac:dyDescent="0.35">
      <c r="A162" s="2" t="s">
        <v>24</v>
      </c>
      <c r="B162" t="s">
        <v>7</v>
      </c>
      <c r="C162">
        <v>3.23</v>
      </c>
      <c r="D162" s="2">
        <f t="shared" si="29"/>
        <v>5.1783870967741938</v>
      </c>
      <c r="E162">
        <v>0.77419354838709697</v>
      </c>
      <c r="G162">
        <f t="shared" si="26"/>
        <v>5</v>
      </c>
      <c r="H162">
        <f t="shared" si="27"/>
        <v>5</v>
      </c>
    </row>
    <row r="163" spans="1:9" x14ac:dyDescent="0.35">
      <c r="A163" s="2" t="s">
        <v>24</v>
      </c>
      <c r="B163" t="s">
        <v>8</v>
      </c>
      <c r="C163">
        <v>3.23</v>
      </c>
      <c r="D163" s="2">
        <f t="shared" si="29"/>
        <v>4.1783870967741947</v>
      </c>
      <c r="E163">
        <v>-0.22580645161290303</v>
      </c>
      <c r="G163">
        <f t="shared" si="26"/>
        <v>4.1783870967741947</v>
      </c>
      <c r="H163">
        <f t="shared" si="27"/>
        <v>4.1783870967741947</v>
      </c>
    </row>
    <row r="164" spans="1:9" x14ac:dyDescent="0.35">
      <c r="A164" s="2" t="s">
        <v>24</v>
      </c>
      <c r="B164" t="s">
        <v>9</v>
      </c>
      <c r="C164">
        <v>3.23</v>
      </c>
      <c r="D164" s="2">
        <f t="shared" si="29"/>
        <v>3.8033870967741943</v>
      </c>
      <c r="E164">
        <v>-0.60080645161290303</v>
      </c>
      <c r="F164" s="2">
        <v>4</v>
      </c>
      <c r="G164">
        <f t="shared" si="26"/>
        <v>3.8033870967741943</v>
      </c>
      <c r="H164">
        <f t="shared" si="27"/>
        <v>-0.19661290322580571</v>
      </c>
      <c r="I164">
        <f>H164*H164</f>
        <v>3.865663371488004E-2</v>
      </c>
    </row>
    <row r="165" spans="1:9" x14ac:dyDescent="0.35">
      <c r="A165" s="2" t="s">
        <v>24</v>
      </c>
      <c r="B165" t="s">
        <v>10</v>
      </c>
      <c r="C165">
        <v>3.23</v>
      </c>
      <c r="D165" s="2">
        <f t="shared" si="29"/>
        <v>4.8450537634408608</v>
      </c>
      <c r="E165">
        <v>0.44086021505376349</v>
      </c>
      <c r="G165">
        <f t="shared" si="26"/>
        <v>4.8450537634408608</v>
      </c>
      <c r="H165">
        <f t="shared" si="27"/>
        <v>4.8450537634408608</v>
      </c>
    </row>
    <row r="166" spans="1:9" x14ac:dyDescent="0.35">
      <c r="A166" s="2" t="s">
        <v>24</v>
      </c>
      <c r="B166" t="s">
        <v>11</v>
      </c>
      <c r="C166">
        <v>3.23</v>
      </c>
      <c r="D166" s="2">
        <f t="shared" si="29"/>
        <v>3.8450537634408608</v>
      </c>
      <c r="E166">
        <v>-0.55913978494623651</v>
      </c>
      <c r="G166">
        <f t="shared" si="26"/>
        <v>3.8450537634408608</v>
      </c>
      <c r="H166">
        <f t="shared" si="27"/>
        <v>3.8450537634408608</v>
      </c>
    </row>
    <row r="167" spans="1:9" x14ac:dyDescent="0.35">
      <c r="A167" s="2" t="s">
        <v>25</v>
      </c>
      <c r="B167" t="s">
        <v>0</v>
      </c>
      <c r="C167">
        <v>3.23</v>
      </c>
      <c r="D167" s="2">
        <f>C167+E167+$P$14</f>
        <v>4.4926728110599079</v>
      </c>
      <c r="E167">
        <v>0.48847926267281139</v>
      </c>
      <c r="G167">
        <f t="shared" si="26"/>
        <v>4.4926728110599079</v>
      </c>
      <c r="H167">
        <f t="shared" si="27"/>
        <v>4.4926728110599079</v>
      </c>
    </row>
    <row r="168" spans="1:9" x14ac:dyDescent="0.35">
      <c r="A168" s="2" t="s">
        <v>25</v>
      </c>
      <c r="B168" t="s">
        <v>1</v>
      </c>
      <c r="C168">
        <v>3.23</v>
      </c>
      <c r="D168" s="2">
        <f t="shared" ref="D168:D179" si="30">C168+E168+$P$14</f>
        <v>3.4450537634408605</v>
      </c>
      <c r="E168">
        <v>-0.55913978494623651</v>
      </c>
      <c r="G168">
        <f t="shared" si="26"/>
        <v>3.4450537634408605</v>
      </c>
      <c r="H168">
        <f t="shared" si="27"/>
        <v>3.4450537634408605</v>
      </c>
    </row>
    <row r="169" spans="1:9" x14ac:dyDescent="0.35">
      <c r="A169" s="2" t="s">
        <v>25</v>
      </c>
      <c r="B169" t="s">
        <v>2</v>
      </c>
      <c r="C169">
        <v>3.23</v>
      </c>
      <c r="D169" s="2">
        <f t="shared" si="30"/>
        <v>4.378387096774194</v>
      </c>
      <c r="E169">
        <v>0.37419354838709706</v>
      </c>
      <c r="G169">
        <f t="shared" si="26"/>
        <v>4.378387096774194</v>
      </c>
      <c r="H169">
        <f t="shared" si="27"/>
        <v>4.378387096774194</v>
      </c>
    </row>
    <row r="170" spans="1:9" x14ac:dyDescent="0.35">
      <c r="A170" s="2" t="s">
        <v>25</v>
      </c>
      <c r="B170" t="s">
        <v>3</v>
      </c>
      <c r="C170">
        <v>3.23</v>
      </c>
      <c r="D170" s="2">
        <f t="shared" si="30"/>
        <v>4.7783870967741935</v>
      </c>
      <c r="E170">
        <v>0.77419354838709697</v>
      </c>
      <c r="G170">
        <f t="shared" si="26"/>
        <v>4.7783870967741935</v>
      </c>
      <c r="H170">
        <f t="shared" si="27"/>
        <v>4.7783870967741935</v>
      </c>
    </row>
    <row r="171" spans="1:9" x14ac:dyDescent="0.35">
      <c r="A171" s="2" t="s">
        <v>25</v>
      </c>
      <c r="B171" t="s">
        <v>4</v>
      </c>
      <c r="C171">
        <v>3.23</v>
      </c>
      <c r="D171" s="2">
        <f t="shared" si="30"/>
        <v>4.2783870967741944</v>
      </c>
      <c r="E171">
        <v>0.27419354838709697</v>
      </c>
      <c r="G171">
        <f t="shared" si="26"/>
        <v>4.2783870967741944</v>
      </c>
      <c r="H171">
        <f t="shared" si="27"/>
        <v>4.2783870967741944</v>
      </c>
    </row>
    <row r="172" spans="1:9" x14ac:dyDescent="0.35">
      <c r="A172" s="2" t="s">
        <v>25</v>
      </c>
      <c r="B172" t="s">
        <v>5</v>
      </c>
      <c r="C172">
        <v>3.23</v>
      </c>
      <c r="D172" s="2">
        <f t="shared" si="30"/>
        <v>2.7783870967741939</v>
      </c>
      <c r="E172">
        <v>-1.225806451612903</v>
      </c>
      <c r="F172" s="2">
        <v>3</v>
      </c>
      <c r="G172">
        <f t="shared" si="26"/>
        <v>2.7783870967741939</v>
      </c>
      <c r="H172">
        <f t="shared" si="27"/>
        <v>-0.22161290322580607</v>
      </c>
      <c r="I172">
        <f>H172*H172</f>
        <v>4.9112278876170486E-2</v>
      </c>
    </row>
    <row r="173" spans="1:9" x14ac:dyDescent="0.35">
      <c r="A173" s="2" t="s">
        <v>25</v>
      </c>
      <c r="B173" t="s">
        <v>6</v>
      </c>
      <c r="C173">
        <v>3.23</v>
      </c>
      <c r="D173" s="2">
        <f t="shared" si="30"/>
        <v>4.2783870967741944</v>
      </c>
      <c r="E173">
        <v>0.27419354838709697</v>
      </c>
      <c r="G173">
        <f t="shared" si="26"/>
        <v>4.2783870967741944</v>
      </c>
      <c r="H173">
        <f t="shared" si="27"/>
        <v>4.2783870967741944</v>
      </c>
    </row>
    <row r="174" spans="1:9" x14ac:dyDescent="0.35">
      <c r="A174" s="2" t="s">
        <v>25</v>
      </c>
      <c r="B174" t="s">
        <v>7</v>
      </c>
      <c r="C174">
        <v>3.23</v>
      </c>
      <c r="D174" s="2">
        <f t="shared" si="30"/>
        <v>4.7783870967741935</v>
      </c>
      <c r="E174">
        <v>0.77419354838709697</v>
      </c>
      <c r="F174" s="2">
        <v>5</v>
      </c>
      <c r="G174">
        <f t="shared" si="26"/>
        <v>4.7783870967741935</v>
      </c>
      <c r="H174">
        <f t="shared" si="27"/>
        <v>-0.22161290322580651</v>
      </c>
      <c r="I174">
        <f>H174*H174</f>
        <v>4.911227887617068E-2</v>
      </c>
    </row>
    <row r="175" spans="1:9" x14ac:dyDescent="0.35">
      <c r="A175" s="2" t="s">
        <v>25</v>
      </c>
      <c r="B175" t="s">
        <v>8</v>
      </c>
      <c r="C175">
        <v>3.23</v>
      </c>
      <c r="D175" s="2">
        <f t="shared" si="30"/>
        <v>3.7783870967741939</v>
      </c>
      <c r="E175">
        <v>-0.22580645161290303</v>
      </c>
      <c r="G175">
        <f t="shared" si="26"/>
        <v>3.7783870967741939</v>
      </c>
      <c r="H175">
        <f t="shared" si="27"/>
        <v>3.7783870967741939</v>
      </c>
    </row>
    <row r="176" spans="1:9" x14ac:dyDescent="0.35">
      <c r="A176" s="2" t="s">
        <v>25</v>
      </c>
      <c r="B176" t="s">
        <v>9</v>
      </c>
      <c r="C176">
        <v>3.23</v>
      </c>
      <c r="D176" s="2">
        <f t="shared" si="30"/>
        <v>3.4033870967741939</v>
      </c>
      <c r="E176">
        <v>-0.60080645161290303</v>
      </c>
      <c r="G176">
        <f t="shared" si="26"/>
        <v>3.4033870967741939</v>
      </c>
      <c r="H176">
        <f t="shared" si="27"/>
        <v>3.4033870967741939</v>
      </c>
    </row>
    <row r="177" spans="1:9" x14ac:dyDescent="0.35">
      <c r="A177" s="2" t="s">
        <v>25</v>
      </c>
      <c r="B177" t="s">
        <v>10</v>
      </c>
      <c r="C177">
        <v>3.23</v>
      </c>
      <c r="D177" s="2">
        <f t="shared" si="30"/>
        <v>4.4450537634408605</v>
      </c>
      <c r="E177">
        <v>0.44086021505376349</v>
      </c>
      <c r="G177">
        <f t="shared" si="26"/>
        <v>4.4450537634408605</v>
      </c>
      <c r="H177">
        <f t="shared" si="27"/>
        <v>4.4450537634408605</v>
      </c>
    </row>
    <row r="178" spans="1:9" x14ac:dyDescent="0.35">
      <c r="A178" s="2" t="s">
        <v>25</v>
      </c>
      <c r="B178" t="s">
        <v>11</v>
      </c>
      <c r="C178">
        <v>3.23</v>
      </c>
      <c r="D178" s="2">
        <f t="shared" si="30"/>
        <v>3.4450537634408605</v>
      </c>
      <c r="E178">
        <v>-0.55913978494623651</v>
      </c>
      <c r="F178" s="2">
        <v>4</v>
      </c>
      <c r="G178">
        <f t="shared" si="26"/>
        <v>3.4450537634408605</v>
      </c>
      <c r="H178">
        <f t="shared" si="27"/>
        <v>-0.55494623655913955</v>
      </c>
      <c r="I178">
        <f>H178*H178</f>
        <v>0.30796532547115246</v>
      </c>
    </row>
    <row r="179" spans="1:9" x14ac:dyDescent="0.35">
      <c r="A179" s="2" t="s">
        <v>26</v>
      </c>
      <c r="B179" t="s">
        <v>0</v>
      </c>
      <c r="C179">
        <v>3.23</v>
      </c>
      <c r="D179" s="2">
        <f>C179+E179+$P$15</f>
        <v>3.7426728110599083</v>
      </c>
      <c r="E179">
        <v>0.48847926267281139</v>
      </c>
      <c r="G179">
        <f t="shared" si="26"/>
        <v>3.7426728110599083</v>
      </c>
      <c r="H179">
        <f t="shared" si="27"/>
        <v>3.7426728110599083</v>
      </c>
    </row>
    <row r="180" spans="1:9" x14ac:dyDescent="0.35">
      <c r="A180" s="2" t="s">
        <v>26</v>
      </c>
      <c r="B180" t="s">
        <v>1</v>
      </c>
      <c r="C180">
        <v>3.23</v>
      </c>
      <c r="D180" s="2">
        <f t="shared" ref="D180:D191" si="31">C180+E180+$P$15</f>
        <v>2.6950537634408605</v>
      </c>
      <c r="E180">
        <v>-0.55913978494623651</v>
      </c>
      <c r="G180">
        <f t="shared" si="26"/>
        <v>2.6950537634408605</v>
      </c>
      <c r="H180">
        <f t="shared" si="27"/>
        <v>2.6950537634408605</v>
      </c>
    </row>
    <row r="181" spans="1:9" x14ac:dyDescent="0.35">
      <c r="A181" s="2" t="s">
        <v>26</v>
      </c>
      <c r="B181" t="s">
        <v>2</v>
      </c>
      <c r="C181">
        <v>3.23</v>
      </c>
      <c r="D181" s="2">
        <f t="shared" si="31"/>
        <v>3.628387096774194</v>
      </c>
      <c r="E181">
        <v>0.37419354838709706</v>
      </c>
      <c r="F181" s="2">
        <v>4</v>
      </c>
      <c r="G181">
        <f t="shared" si="26"/>
        <v>3.628387096774194</v>
      </c>
      <c r="H181">
        <f t="shared" si="27"/>
        <v>-0.37161290322580598</v>
      </c>
      <c r="I181">
        <f>H181*H181</f>
        <v>0.13809614984391225</v>
      </c>
    </row>
    <row r="182" spans="1:9" x14ac:dyDescent="0.35">
      <c r="A182" s="2" t="s">
        <v>26</v>
      </c>
      <c r="B182" t="s">
        <v>3</v>
      </c>
      <c r="C182">
        <v>3.23</v>
      </c>
      <c r="D182" s="2">
        <f t="shared" si="31"/>
        <v>4.0283870967741935</v>
      </c>
      <c r="E182">
        <v>0.77419354838709697</v>
      </c>
      <c r="G182">
        <f t="shared" si="26"/>
        <v>4.0283870967741935</v>
      </c>
      <c r="H182">
        <f t="shared" si="27"/>
        <v>4.0283870967741935</v>
      </c>
    </row>
    <row r="183" spans="1:9" x14ac:dyDescent="0.35">
      <c r="A183" s="2" t="s">
        <v>26</v>
      </c>
      <c r="B183" t="s">
        <v>4</v>
      </c>
      <c r="C183">
        <v>3.23</v>
      </c>
      <c r="D183" s="2">
        <f t="shared" si="31"/>
        <v>3.5283870967741939</v>
      </c>
      <c r="E183">
        <v>0.27419354838709697</v>
      </c>
      <c r="G183">
        <f t="shared" si="26"/>
        <v>3.5283870967741939</v>
      </c>
      <c r="H183">
        <f t="shared" si="27"/>
        <v>3.5283870967741939</v>
      </c>
    </row>
    <row r="184" spans="1:9" x14ac:dyDescent="0.35">
      <c r="A184" s="2" t="s">
        <v>26</v>
      </c>
      <c r="B184" t="s">
        <v>5</v>
      </c>
      <c r="C184">
        <v>3.23</v>
      </c>
      <c r="D184" s="2">
        <f t="shared" si="31"/>
        <v>2.0283870967741939</v>
      </c>
      <c r="E184">
        <v>-1.225806451612903</v>
      </c>
      <c r="F184" s="2">
        <v>2</v>
      </c>
      <c r="G184">
        <f t="shared" si="26"/>
        <v>2.0283870967741939</v>
      </c>
      <c r="H184">
        <f t="shared" si="27"/>
        <v>2.8387096774193932E-2</v>
      </c>
      <c r="I184">
        <f t="shared" ref="I184:I185" si="32">H184*H184</f>
        <v>8.0582726326745152E-4</v>
      </c>
    </row>
    <row r="185" spans="1:9" x14ac:dyDescent="0.35">
      <c r="A185" s="2" t="s">
        <v>26</v>
      </c>
      <c r="B185" t="s">
        <v>6</v>
      </c>
      <c r="C185">
        <v>3.23</v>
      </c>
      <c r="D185" s="2">
        <f t="shared" si="31"/>
        <v>3.5283870967741939</v>
      </c>
      <c r="E185">
        <v>0.27419354838709697</v>
      </c>
      <c r="F185" s="2">
        <v>4</v>
      </c>
      <c r="G185">
        <f t="shared" si="26"/>
        <v>3.5283870967741939</v>
      </c>
      <c r="H185">
        <f t="shared" si="27"/>
        <v>-0.47161290322580607</v>
      </c>
      <c r="I185">
        <f t="shared" si="32"/>
        <v>0.22241873048907351</v>
      </c>
    </row>
    <row r="186" spans="1:9" x14ac:dyDescent="0.35">
      <c r="A186" s="2" t="s">
        <v>26</v>
      </c>
      <c r="B186" t="s">
        <v>7</v>
      </c>
      <c r="C186">
        <v>3.23</v>
      </c>
      <c r="D186" s="2">
        <f t="shared" si="31"/>
        <v>4.0283870967741935</v>
      </c>
      <c r="E186">
        <v>0.77419354838709697</v>
      </c>
      <c r="G186">
        <f t="shared" si="26"/>
        <v>4.0283870967741935</v>
      </c>
      <c r="H186">
        <f t="shared" si="27"/>
        <v>4.0283870967741935</v>
      </c>
    </row>
    <row r="187" spans="1:9" x14ac:dyDescent="0.35">
      <c r="A187" s="2" t="s">
        <v>26</v>
      </c>
      <c r="B187" t="s">
        <v>8</v>
      </c>
      <c r="C187">
        <v>3.23</v>
      </c>
      <c r="D187" s="2">
        <f t="shared" si="31"/>
        <v>3.0283870967741939</v>
      </c>
      <c r="E187">
        <v>-0.22580645161290303</v>
      </c>
      <c r="G187">
        <f t="shared" si="26"/>
        <v>3.0283870967741939</v>
      </c>
      <c r="H187">
        <f t="shared" si="27"/>
        <v>3.0283870967741939</v>
      </c>
    </row>
    <row r="188" spans="1:9" x14ac:dyDescent="0.35">
      <c r="A188" s="2" t="s">
        <v>26</v>
      </c>
      <c r="B188" t="s">
        <v>9</v>
      </c>
      <c r="C188">
        <v>3.23</v>
      </c>
      <c r="D188" s="2">
        <f t="shared" si="31"/>
        <v>2.6533870967741939</v>
      </c>
      <c r="E188">
        <v>-0.60080645161290303</v>
      </c>
      <c r="F188" s="2">
        <v>3</v>
      </c>
      <c r="G188">
        <f t="shared" si="26"/>
        <v>2.6533870967741939</v>
      </c>
      <c r="H188">
        <f t="shared" si="27"/>
        <v>-0.34661290322580607</v>
      </c>
      <c r="I188">
        <f>H188*H188</f>
        <v>0.12014050468262201</v>
      </c>
    </row>
    <row r="189" spans="1:9" x14ac:dyDescent="0.35">
      <c r="A189" s="2" t="s">
        <v>26</v>
      </c>
      <c r="B189" t="s">
        <v>10</v>
      </c>
      <c r="C189">
        <v>3.23</v>
      </c>
      <c r="D189" s="2">
        <f t="shared" si="31"/>
        <v>3.6950537634408605</v>
      </c>
      <c r="E189">
        <v>0.44086021505376349</v>
      </c>
      <c r="G189">
        <f t="shared" si="26"/>
        <v>3.6950537634408605</v>
      </c>
      <c r="H189">
        <f t="shared" si="27"/>
        <v>3.6950537634408605</v>
      </c>
    </row>
    <row r="190" spans="1:9" x14ac:dyDescent="0.35">
      <c r="A190" s="2" t="s">
        <v>26</v>
      </c>
      <c r="B190" t="s">
        <v>11</v>
      </c>
      <c r="C190">
        <v>3.23</v>
      </c>
      <c r="D190" s="2">
        <f t="shared" si="31"/>
        <v>2.6950537634408605</v>
      </c>
      <c r="E190">
        <v>-0.55913978494623651</v>
      </c>
      <c r="G190">
        <f t="shared" si="26"/>
        <v>2.6950537634408605</v>
      </c>
      <c r="H190">
        <f t="shared" si="27"/>
        <v>2.6950537634408605</v>
      </c>
    </row>
    <row r="191" spans="1:9" x14ac:dyDescent="0.35">
      <c r="A191" s="2" t="s">
        <v>27</v>
      </c>
      <c r="B191" t="s">
        <v>0</v>
      </c>
      <c r="C191">
        <v>3.23</v>
      </c>
      <c r="D191" s="2">
        <f>C191+E191+$P$16</f>
        <v>4.8260061443932418</v>
      </c>
      <c r="E191">
        <v>0.48847926267281139</v>
      </c>
      <c r="G191">
        <f t="shared" si="26"/>
        <v>4.8260061443932418</v>
      </c>
      <c r="H191">
        <f t="shared" si="27"/>
        <v>4.8260061443932418</v>
      </c>
    </row>
    <row r="192" spans="1:9" x14ac:dyDescent="0.35">
      <c r="A192" s="2" t="s">
        <v>27</v>
      </c>
      <c r="B192" t="s">
        <v>1</v>
      </c>
      <c r="C192">
        <v>3.23</v>
      </c>
      <c r="D192" s="2">
        <f t="shared" ref="D192:D203" si="33">C192+E192+$P$16</f>
        <v>3.7783870967741935</v>
      </c>
      <c r="E192">
        <v>-0.55913978494623651</v>
      </c>
      <c r="F192" s="2">
        <v>4</v>
      </c>
      <c r="G192">
        <f t="shared" si="26"/>
        <v>3.7783870967741935</v>
      </c>
      <c r="H192">
        <f t="shared" si="27"/>
        <v>-0.22161290322580651</v>
      </c>
      <c r="I192">
        <f>H192*H192</f>
        <v>4.911227887617068E-2</v>
      </c>
    </row>
    <row r="193" spans="1:9" x14ac:dyDescent="0.35">
      <c r="A193" s="2" t="s">
        <v>27</v>
      </c>
      <c r="B193" t="s">
        <v>2</v>
      </c>
      <c r="C193">
        <v>3.23</v>
      </c>
      <c r="D193" s="2">
        <f t="shared" si="33"/>
        <v>4.7117204301075271</v>
      </c>
      <c r="E193">
        <v>0.37419354838709706</v>
      </c>
      <c r="G193">
        <f t="shared" si="26"/>
        <v>4.7117204301075271</v>
      </c>
      <c r="H193">
        <f t="shared" si="27"/>
        <v>4.7117204301075271</v>
      </c>
    </row>
    <row r="194" spans="1:9" x14ac:dyDescent="0.35">
      <c r="A194" s="2" t="s">
        <v>27</v>
      </c>
      <c r="B194" t="s">
        <v>3</v>
      </c>
      <c r="C194">
        <v>3.23</v>
      </c>
      <c r="D194" s="2">
        <f t="shared" si="33"/>
        <v>5.1117204301075265</v>
      </c>
      <c r="E194">
        <v>0.77419354838709697</v>
      </c>
      <c r="F194" s="2">
        <v>5</v>
      </c>
      <c r="G194">
        <f t="shared" si="26"/>
        <v>5</v>
      </c>
      <c r="H194">
        <f t="shared" si="27"/>
        <v>0</v>
      </c>
      <c r="I194">
        <f>H194*H194</f>
        <v>0</v>
      </c>
    </row>
    <row r="195" spans="1:9" x14ac:dyDescent="0.35">
      <c r="A195" s="2" t="s">
        <v>27</v>
      </c>
      <c r="B195" t="s">
        <v>4</v>
      </c>
      <c r="C195">
        <v>3.23</v>
      </c>
      <c r="D195" s="2">
        <f t="shared" si="33"/>
        <v>4.6117204301075265</v>
      </c>
      <c r="E195">
        <v>0.27419354838709697</v>
      </c>
      <c r="G195">
        <f t="shared" si="26"/>
        <v>4.6117204301075265</v>
      </c>
      <c r="H195">
        <f t="shared" si="27"/>
        <v>4.6117204301075265</v>
      </c>
    </row>
    <row r="196" spans="1:9" x14ac:dyDescent="0.35">
      <c r="A196" s="2" t="s">
        <v>27</v>
      </c>
      <c r="B196" t="s">
        <v>5</v>
      </c>
      <c r="C196">
        <v>3.23</v>
      </c>
      <c r="D196" s="2">
        <f t="shared" si="33"/>
        <v>3.111720430107527</v>
      </c>
      <c r="E196">
        <v>-1.225806451612903</v>
      </c>
      <c r="G196">
        <f t="shared" si="26"/>
        <v>3.111720430107527</v>
      </c>
      <c r="H196">
        <f t="shared" si="27"/>
        <v>3.111720430107527</v>
      </c>
    </row>
    <row r="197" spans="1:9" x14ac:dyDescent="0.35">
      <c r="A197" s="2" t="s">
        <v>27</v>
      </c>
      <c r="B197" t="s">
        <v>6</v>
      </c>
      <c r="C197">
        <v>3.23</v>
      </c>
      <c r="D197" s="2">
        <f t="shared" si="33"/>
        <v>4.6117204301075265</v>
      </c>
      <c r="E197">
        <v>0.27419354838709697</v>
      </c>
      <c r="G197">
        <f t="shared" si="26"/>
        <v>4.6117204301075265</v>
      </c>
      <c r="H197">
        <f t="shared" si="27"/>
        <v>4.6117204301075265</v>
      </c>
    </row>
    <row r="198" spans="1:9" x14ac:dyDescent="0.35">
      <c r="A198" s="2" t="s">
        <v>27</v>
      </c>
      <c r="B198" t="s">
        <v>7</v>
      </c>
      <c r="C198">
        <v>3.23</v>
      </c>
      <c r="D198" s="2">
        <f t="shared" si="33"/>
        <v>5.1117204301075265</v>
      </c>
      <c r="E198">
        <v>0.77419354838709697</v>
      </c>
      <c r="G198">
        <f t="shared" si="26"/>
        <v>5</v>
      </c>
      <c r="H198">
        <f t="shared" si="27"/>
        <v>5</v>
      </c>
    </row>
    <row r="199" spans="1:9" x14ac:dyDescent="0.35">
      <c r="A199" s="2" t="s">
        <v>27</v>
      </c>
      <c r="B199" t="s">
        <v>8</v>
      </c>
      <c r="C199">
        <v>3.23</v>
      </c>
      <c r="D199" s="2">
        <f t="shared" si="33"/>
        <v>4.1117204301075265</v>
      </c>
      <c r="E199">
        <v>-0.22580645161290303</v>
      </c>
      <c r="F199" s="2">
        <v>4</v>
      </c>
      <c r="G199">
        <f t="shared" si="26"/>
        <v>4.1117204301075265</v>
      </c>
      <c r="H199">
        <f t="shared" si="27"/>
        <v>0.11172043010752652</v>
      </c>
      <c r="I199">
        <f>H199*H199</f>
        <v>1.2481454503410719E-2</v>
      </c>
    </row>
    <row r="200" spans="1:9" x14ac:dyDescent="0.35">
      <c r="A200" s="2" t="s">
        <v>27</v>
      </c>
      <c r="B200" t="s">
        <v>9</v>
      </c>
      <c r="C200">
        <v>3.23</v>
      </c>
      <c r="D200" s="2">
        <f t="shared" si="33"/>
        <v>3.736720430107527</v>
      </c>
      <c r="E200">
        <v>-0.60080645161290303</v>
      </c>
      <c r="G200">
        <f t="shared" si="26"/>
        <v>3.736720430107527</v>
      </c>
      <c r="H200">
        <f t="shared" si="27"/>
        <v>3.736720430107527</v>
      </c>
    </row>
    <row r="201" spans="1:9" x14ac:dyDescent="0.35">
      <c r="A201" s="2" t="s">
        <v>27</v>
      </c>
      <c r="B201" t="s">
        <v>10</v>
      </c>
      <c r="C201">
        <v>3.23</v>
      </c>
      <c r="D201" s="2">
        <f t="shared" si="33"/>
        <v>4.7783870967741935</v>
      </c>
      <c r="E201">
        <v>0.44086021505376349</v>
      </c>
      <c r="G201">
        <f t="shared" si="26"/>
        <v>4.7783870967741935</v>
      </c>
      <c r="H201">
        <f t="shared" si="27"/>
        <v>4.7783870967741935</v>
      </c>
    </row>
    <row r="202" spans="1:9" x14ac:dyDescent="0.35">
      <c r="A202" s="2" t="s">
        <v>27</v>
      </c>
      <c r="B202" t="s">
        <v>11</v>
      </c>
      <c r="C202">
        <v>3.23</v>
      </c>
      <c r="D202" s="2">
        <f t="shared" si="33"/>
        <v>3.7783870967741935</v>
      </c>
      <c r="E202">
        <v>-0.55913978494623651</v>
      </c>
      <c r="G202">
        <f t="shared" si="26"/>
        <v>3.7783870967741935</v>
      </c>
      <c r="H202">
        <f t="shared" si="27"/>
        <v>3.7783870967741935</v>
      </c>
    </row>
    <row r="203" spans="1:9" x14ac:dyDescent="0.35">
      <c r="A203" s="2" t="s">
        <v>28</v>
      </c>
      <c r="B203" t="s">
        <v>0</v>
      </c>
      <c r="C203">
        <v>3.23</v>
      </c>
      <c r="D203" s="2">
        <f>C203+E203+$P$17</f>
        <v>3.8260061443932418</v>
      </c>
      <c r="E203">
        <v>0.48847926267281139</v>
      </c>
      <c r="G203">
        <f t="shared" si="26"/>
        <v>3.8260061443932418</v>
      </c>
      <c r="H203">
        <f t="shared" si="27"/>
        <v>3.8260061443932418</v>
      </c>
    </row>
    <row r="204" spans="1:9" x14ac:dyDescent="0.35">
      <c r="A204" s="2" t="s">
        <v>28</v>
      </c>
      <c r="B204" t="s">
        <v>1</v>
      </c>
      <c r="C204">
        <v>3.23</v>
      </c>
      <c r="D204" s="2">
        <f t="shared" ref="D204:D214" si="34">C204+E204+$P$17</f>
        <v>2.7783870967741939</v>
      </c>
      <c r="E204">
        <v>-0.55913978494623651</v>
      </c>
      <c r="F204" s="2">
        <v>4</v>
      </c>
      <c r="G204">
        <f t="shared" si="26"/>
        <v>2.7783870967741939</v>
      </c>
      <c r="H204">
        <f t="shared" si="27"/>
        <v>-1.2216129032258061</v>
      </c>
      <c r="I204">
        <f>H204*H204</f>
        <v>1.4923380853277826</v>
      </c>
    </row>
    <row r="205" spans="1:9" x14ac:dyDescent="0.35">
      <c r="A205" s="2" t="s">
        <v>28</v>
      </c>
      <c r="B205" t="s">
        <v>2</v>
      </c>
      <c r="C205">
        <v>3.23</v>
      </c>
      <c r="D205" s="2">
        <f t="shared" si="34"/>
        <v>3.7117204301075275</v>
      </c>
      <c r="E205">
        <v>0.37419354838709706</v>
      </c>
      <c r="G205">
        <f t="shared" si="26"/>
        <v>3.7117204301075275</v>
      </c>
      <c r="H205">
        <f t="shared" si="27"/>
        <v>3.7117204301075275</v>
      </c>
    </row>
    <row r="206" spans="1:9" x14ac:dyDescent="0.35">
      <c r="A206" s="2" t="s">
        <v>28</v>
      </c>
      <c r="B206" t="s">
        <v>3</v>
      </c>
      <c r="C206">
        <v>3.23</v>
      </c>
      <c r="D206" s="2">
        <f t="shared" si="34"/>
        <v>4.1117204301075265</v>
      </c>
      <c r="E206">
        <v>0.77419354838709697</v>
      </c>
      <c r="G206">
        <f t="shared" si="26"/>
        <v>4.1117204301075265</v>
      </c>
      <c r="H206">
        <f t="shared" si="27"/>
        <v>4.1117204301075265</v>
      </c>
    </row>
    <row r="207" spans="1:9" x14ac:dyDescent="0.35">
      <c r="A207" s="2" t="s">
        <v>28</v>
      </c>
      <c r="B207" t="s">
        <v>4</v>
      </c>
      <c r="C207">
        <v>3.23</v>
      </c>
      <c r="D207" s="2">
        <f t="shared" si="34"/>
        <v>3.6117204301075274</v>
      </c>
      <c r="E207">
        <v>0.27419354838709697</v>
      </c>
      <c r="F207" s="2">
        <v>4</v>
      </c>
      <c r="G207">
        <f t="shared" si="26"/>
        <v>3.6117204301075274</v>
      </c>
      <c r="H207">
        <f t="shared" si="27"/>
        <v>-0.38827956989247259</v>
      </c>
      <c r="I207">
        <f>H207*H207</f>
        <v>0.15076102439588351</v>
      </c>
    </row>
    <row r="208" spans="1:9" x14ac:dyDescent="0.35">
      <c r="A208" s="2" t="s">
        <v>28</v>
      </c>
      <c r="B208" t="s">
        <v>5</v>
      </c>
      <c r="C208">
        <v>3.23</v>
      </c>
      <c r="D208" s="2">
        <f t="shared" si="34"/>
        <v>2.1117204301075274</v>
      </c>
      <c r="E208">
        <v>-1.225806451612903</v>
      </c>
      <c r="G208">
        <f t="shared" si="26"/>
        <v>2.1117204301075274</v>
      </c>
      <c r="H208">
        <f t="shared" si="27"/>
        <v>2.1117204301075274</v>
      </c>
    </row>
    <row r="209" spans="1:11" x14ac:dyDescent="0.35">
      <c r="A209" s="2" t="s">
        <v>28</v>
      </c>
      <c r="B209" t="s">
        <v>6</v>
      </c>
      <c r="C209">
        <v>3.23</v>
      </c>
      <c r="D209" s="2">
        <f t="shared" si="34"/>
        <v>3.6117204301075274</v>
      </c>
      <c r="E209">
        <v>0.27419354838709697</v>
      </c>
      <c r="G209">
        <f t="shared" si="26"/>
        <v>3.6117204301075274</v>
      </c>
      <c r="H209">
        <f t="shared" si="27"/>
        <v>3.6117204301075274</v>
      </c>
    </row>
    <row r="210" spans="1:11" x14ac:dyDescent="0.35">
      <c r="A210" s="2" t="s">
        <v>28</v>
      </c>
      <c r="B210" t="s">
        <v>7</v>
      </c>
      <c r="C210">
        <v>3.23</v>
      </c>
      <c r="D210" s="2">
        <f t="shared" si="34"/>
        <v>4.1117204301075265</v>
      </c>
      <c r="E210">
        <v>0.77419354838709697</v>
      </c>
      <c r="G210">
        <f t="shared" si="26"/>
        <v>4.1117204301075265</v>
      </c>
      <c r="H210">
        <f t="shared" si="27"/>
        <v>4.1117204301075265</v>
      </c>
    </row>
    <row r="211" spans="1:11" x14ac:dyDescent="0.35">
      <c r="A211" s="2" t="s">
        <v>28</v>
      </c>
      <c r="B211" t="s">
        <v>8</v>
      </c>
      <c r="C211">
        <v>3.23</v>
      </c>
      <c r="D211" s="2">
        <f t="shared" si="34"/>
        <v>3.1117204301075274</v>
      </c>
      <c r="E211">
        <v>-0.22580645161290303</v>
      </c>
      <c r="G211">
        <f t="shared" si="26"/>
        <v>3.1117204301075274</v>
      </c>
      <c r="H211">
        <f t="shared" si="27"/>
        <v>3.1117204301075274</v>
      </c>
    </row>
    <row r="212" spans="1:11" x14ac:dyDescent="0.35">
      <c r="A212" s="2" t="s">
        <v>28</v>
      </c>
      <c r="B212" t="s">
        <v>9</v>
      </c>
      <c r="C212">
        <v>3.23</v>
      </c>
      <c r="D212" s="2">
        <f t="shared" si="34"/>
        <v>2.7367204301075274</v>
      </c>
      <c r="E212">
        <v>-0.60080645161290303</v>
      </c>
      <c r="F212" s="2">
        <v>2</v>
      </c>
      <c r="G212">
        <f t="shared" si="26"/>
        <v>2.7367204301075274</v>
      </c>
      <c r="H212">
        <f t="shared" si="27"/>
        <v>0.73672043010752741</v>
      </c>
      <c r="I212">
        <f>H212*H212</f>
        <v>0.54275699213782014</v>
      </c>
    </row>
    <row r="213" spans="1:11" x14ac:dyDescent="0.35">
      <c r="A213" s="2" t="s">
        <v>28</v>
      </c>
      <c r="B213" t="s">
        <v>10</v>
      </c>
      <c r="C213">
        <v>3.23</v>
      </c>
      <c r="D213" s="2">
        <f t="shared" si="34"/>
        <v>3.7783870967741939</v>
      </c>
      <c r="E213">
        <v>0.44086021505376349</v>
      </c>
      <c r="G213">
        <f t="shared" si="26"/>
        <v>3.7783870967741939</v>
      </c>
      <c r="H213">
        <f t="shared" si="27"/>
        <v>3.7783870967741939</v>
      </c>
    </row>
    <row r="214" spans="1:11" x14ac:dyDescent="0.35">
      <c r="A214" s="2" t="s">
        <v>28</v>
      </c>
      <c r="B214" t="s">
        <v>11</v>
      </c>
      <c r="C214">
        <v>3.23</v>
      </c>
      <c r="D214" s="2">
        <f t="shared" si="34"/>
        <v>2.7783870967741939</v>
      </c>
      <c r="E214">
        <v>-0.55913978494623651</v>
      </c>
      <c r="G214">
        <f t="shared" si="26"/>
        <v>2.7783870967741939</v>
      </c>
      <c r="H214">
        <f t="shared" si="27"/>
        <v>2.7783870967741939</v>
      </c>
    </row>
    <row r="216" spans="1:11" x14ac:dyDescent="0.35">
      <c r="I216">
        <f>SUM(I23:I212)</f>
        <v>19.687570973699913</v>
      </c>
      <c r="J216">
        <f>I216/62</f>
        <v>0.31754146731774052</v>
      </c>
    </row>
    <row r="217" spans="1:11" x14ac:dyDescent="0.35">
      <c r="I217" s="2"/>
      <c r="J217" s="4">
        <f>SQRT(J216)</f>
        <v>0.56350817857218405</v>
      </c>
      <c r="K217" s="2" t="s">
        <v>38</v>
      </c>
    </row>
  </sheetData>
  <autoFilter ref="A22:H214" xr:uid="{0940BD16-D003-4481-AE10-3578B1534DB7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D206-97A5-427F-8010-5F853131B0F0}">
  <dimension ref="A1:P232"/>
  <sheetViews>
    <sheetView tabSelected="1" topLeftCell="A154" workbookViewId="0">
      <selection activeCell="I185" sqref="I185"/>
    </sheetView>
  </sheetViews>
  <sheetFormatPr defaultRowHeight="14.5" x14ac:dyDescent="0.35"/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P1" t="s">
        <v>31</v>
      </c>
    </row>
    <row r="2" spans="1:16" x14ac:dyDescent="0.35">
      <c r="A2" t="s">
        <v>12</v>
      </c>
      <c r="M2" s="2">
        <v>3</v>
      </c>
      <c r="P2">
        <v>1.1741935483870973</v>
      </c>
    </row>
    <row r="3" spans="1:16" x14ac:dyDescent="0.35">
      <c r="A3" t="s">
        <v>13</v>
      </c>
      <c r="H3" s="2">
        <v>3</v>
      </c>
      <c r="P3">
        <v>-1.225806451612903</v>
      </c>
    </row>
    <row r="4" spans="1:16" x14ac:dyDescent="0.35">
      <c r="A4" t="s">
        <v>14</v>
      </c>
      <c r="E4" s="2">
        <v>4</v>
      </c>
      <c r="H4" s="2">
        <v>4</v>
      </c>
      <c r="I4" s="2">
        <v>4</v>
      </c>
      <c r="P4">
        <v>2.4193548387096975E-2</v>
      </c>
    </row>
    <row r="5" spans="1:16" x14ac:dyDescent="0.35">
      <c r="A5" t="s">
        <v>15</v>
      </c>
      <c r="B5" s="3"/>
      <c r="G5" s="2">
        <v>3</v>
      </c>
      <c r="P5">
        <v>1.1741935483870973</v>
      </c>
    </row>
    <row r="6" spans="1:16" x14ac:dyDescent="0.35">
      <c r="A6" t="s">
        <v>16</v>
      </c>
      <c r="J6" s="2">
        <v>2</v>
      </c>
      <c r="M6" s="2">
        <v>3</v>
      </c>
      <c r="P6">
        <v>-1.225806451612903</v>
      </c>
    </row>
    <row r="7" spans="1:16" x14ac:dyDescent="0.35">
      <c r="A7" t="s">
        <v>18</v>
      </c>
      <c r="G7" s="2">
        <v>1</v>
      </c>
      <c r="P7">
        <v>-0.72580645161290303</v>
      </c>
    </row>
    <row r="8" spans="1:16" x14ac:dyDescent="0.35">
      <c r="A8" t="s">
        <v>19</v>
      </c>
      <c r="P8">
        <v>-0.39247311827956954</v>
      </c>
    </row>
    <row r="9" spans="1:16" x14ac:dyDescent="0.35">
      <c r="A9" t="s">
        <v>20</v>
      </c>
      <c r="P9">
        <v>-1.0591397849462365</v>
      </c>
    </row>
    <row r="10" spans="1:16" x14ac:dyDescent="0.35">
      <c r="A10" t="s">
        <v>21</v>
      </c>
      <c r="C10" s="2">
        <v>1</v>
      </c>
      <c r="D10" s="2"/>
      <c r="M10" s="2">
        <v>1</v>
      </c>
      <c r="P10">
        <v>-1.225806451612903</v>
      </c>
    </row>
    <row r="11" spans="1:16" x14ac:dyDescent="0.35">
      <c r="A11" t="s">
        <v>22</v>
      </c>
      <c r="G11" s="2">
        <v>4</v>
      </c>
      <c r="I11" s="2">
        <v>3</v>
      </c>
      <c r="P11">
        <v>0.27419354838709697</v>
      </c>
    </row>
    <row r="12" spans="1:16" x14ac:dyDescent="0.35">
      <c r="A12" t="s">
        <v>23</v>
      </c>
      <c r="P12">
        <v>0.27419354838709697</v>
      </c>
    </row>
    <row r="13" spans="1:16" x14ac:dyDescent="0.35">
      <c r="A13" t="s">
        <v>24</v>
      </c>
      <c r="P13">
        <v>1.1741935483870973</v>
      </c>
    </row>
    <row r="14" spans="1:16" x14ac:dyDescent="0.35">
      <c r="A14" t="s">
        <v>25</v>
      </c>
      <c r="F14" s="2">
        <v>5</v>
      </c>
      <c r="M14" s="2">
        <v>4</v>
      </c>
      <c r="P14">
        <v>0.77419354838709697</v>
      </c>
    </row>
    <row r="15" spans="1:16" x14ac:dyDescent="0.35">
      <c r="A15" t="s">
        <v>26</v>
      </c>
      <c r="I15" s="2">
        <v>2</v>
      </c>
      <c r="P15">
        <v>2.4193548387096975E-2</v>
      </c>
    </row>
    <row r="16" spans="1:16" x14ac:dyDescent="0.35">
      <c r="A16" t="s">
        <v>27</v>
      </c>
      <c r="P16">
        <v>1.10752688172043</v>
      </c>
    </row>
    <row r="17" spans="1:16" x14ac:dyDescent="0.35">
      <c r="A17" t="s">
        <v>28</v>
      </c>
      <c r="P17">
        <v>0.10752688172043046</v>
      </c>
    </row>
    <row r="21" spans="1:16" x14ac:dyDescent="0.35">
      <c r="C21" s="2" t="s">
        <v>36</v>
      </c>
      <c r="D21" t="s">
        <v>33</v>
      </c>
      <c r="E21" t="s">
        <v>32</v>
      </c>
      <c r="F21" t="s">
        <v>34</v>
      </c>
      <c r="G21" t="s">
        <v>37</v>
      </c>
      <c r="H21" t="s">
        <v>35</v>
      </c>
    </row>
    <row r="22" spans="1:16" x14ac:dyDescent="0.35">
      <c r="A22" s="2" t="s">
        <v>12</v>
      </c>
      <c r="B22" t="s">
        <v>0</v>
      </c>
      <c r="C22">
        <v>3.23</v>
      </c>
      <c r="D22" s="2">
        <f>C22+E22+$P$2</f>
        <v>4.8926728110599083</v>
      </c>
      <c r="E22">
        <v>0.48847926267281139</v>
      </c>
      <c r="G22">
        <f>IF(D22&gt;5,5,D22)</f>
        <v>4.8926728110599083</v>
      </c>
      <c r="H22">
        <f>G22-F22</f>
        <v>4.8926728110599083</v>
      </c>
      <c r="M22" s="3"/>
    </row>
    <row r="23" spans="1:16" x14ac:dyDescent="0.35">
      <c r="A23" s="2" t="s">
        <v>12</v>
      </c>
      <c r="B23" t="s">
        <v>1</v>
      </c>
      <c r="C23">
        <v>3.23</v>
      </c>
      <c r="D23" s="2">
        <f t="shared" ref="D23:D33" si="0">C23+E23+$P$2</f>
        <v>3.8450537634408608</v>
      </c>
      <c r="E23">
        <v>-0.55913978494623651</v>
      </c>
      <c r="G23">
        <f t="shared" ref="G23:G86" si="1">IF(D23&gt;5,5,D23)</f>
        <v>3.8450537634408608</v>
      </c>
      <c r="H23">
        <f t="shared" ref="H23:H86" si="2">G23-F23</f>
        <v>3.8450537634408608</v>
      </c>
      <c r="J23" s="5"/>
      <c r="K23" s="5"/>
      <c r="L23" s="5"/>
      <c r="M23" s="5"/>
      <c r="N23" s="5"/>
      <c r="O23" s="5"/>
      <c r="P23" s="5"/>
    </row>
    <row r="24" spans="1:16" x14ac:dyDescent="0.35">
      <c r="A24" s="2" t="s">
        <v>12</v>
      </c>
      <c r="B24" t="s">
        <v>2</v>
      </c>
      <c r="C24">
        <v>3.23</v>
      </c>
      <c r="D24" s="2">
        <f t="shared" si="0"/>
        <v>4.7783870967741944</v>
      </c>
      <c r="E24">
        <v>0.37419354838709706</v>
      </c>
      <c r="G24">
        <f t="shared" si="1"/>
        <v>4.7783870967741944</v>
      </c>
      <c r="H24">
        <f t="shared" si="2"/>
        <v>4.7783870967741944</v>
      </c>
      <c r="J24" s="5"/>
      <c r="K24" s="5"/>
      <c r="L24" s="5"/>
      <c r="M24" s="5"/>
      <c r="N24" s="5"/>
      <c r="O24" s="5"/>
      <c r="P24" s="5"/>
    </row>
    <row r="25" spans="1:16" x14ac:dyDescent="0.35">
      <c r="A25" s="2" t="s">
        <v>12</v>
      </c>
      <c r="B25" t="s">
        <v>3</v>
      </c>
      <c r="C25">
        <v>3.23</v>
      </c>
      <c r="D25" s="2">
        <f t="shared" si="0"/>
        <v>5.1783870967741938</v>
      </c>
      <c r="E25">
        <v>0.77419354838709697</v>
      </c>
      <c r="G25">
        <f t="shared" si="1"/>
        <v>5</v>
      </c>
      <c r="H25">
        <f t="shared" si="2"/>
        <v>5</v>
      </c>
      <c r="J25" s="5"/>
      <c r="K25" s="5"/>
      <c r="L25" s="5"/>
      <c r="M25" s="5"/>
      <c r="N25" s="5"/>
      <c r="O25" s="5"/>
      <c r="P25" s="5"/>
    </row>
    <row r="26" spans="1:16" x14ac:dyDescent="0.35">
      <c r="A26" s="2" t="s">
        <v>12</v>
      </c>
      <c r="B26" t="s">
        <v>4</v>
      </c>
      <c r="C26">
        <v>3.23</v>
      </c>
      <c r="D26" s="2">
        <f t="shared" si="0"/>
        <v>4.6783870967741947</v>
      </c>
      <c r="E26">
        <v>0.27419354838709697</v>
      </c>
      <c r="G26">
        <f t="shared" si="1"/>
        <v>4.6783870967741947</v>
      </c>
      <c r="H26">
        <f t="shared" si="2"/>
        <v>4.6783870967741947</v>
      </c>
      <c r="J26" s="5"/>
      <c r="K26" s="5"/>
      <c r="L26" s="5"/>
      <c r="M26" s="5"/>
      <c r="N26" s="5"/>
      <c r="O26" s="5"/>
      <c r="P26" s="5"/>
    </row>
    <row r="27" spans="1:16" x14ac:dyDescent="0.35">
      <c r="A27" s="2" t="s">
        <v>12</v>
      </c>
      <c r="B27" t="s">
        <v>5</v>
      </c>
      <c r="C27">
        <v>3.23</v>
      </c>
      <c r="D27" s="2">
        <f t="shared" si="0"/>
        <v>3.1783870967741943</v>
      </c>
      <c r="E27">
        <v>-1.225806451612903</v>
      </c>
      <c r="G27">
        <f t="shared" si="1"/>
        <v>3.1783870967741943</v>
      </c>
      <c r="H27">
        <f t="shared" si="2"/>
        <v>3.1783870967741943</v>
      </c>
      <c r="J27" s="5"/>
      <c r="K27" s="5"/>
      <c r="L27" s="5"/>
      <c r="M27" s="5"/>
      <c r="N27" s="5"/>
      <c r="O27" s="5"/>
      <c r="P27" s="5"/>
    </row>
    <row r="28" spans="1:16" x14ac:dyDescent="0.35">
      <c r="A28" s="2" t="s">
        <v>12</v>
      </c>
      <c r="B28" t="s">
        <v>6</v>
      </c>
      <c r="C28">
        <v>3.23</v>
      </c>
      <c r="D28" s="2">
        <f t="shared" si="0"/>
        <v>4.6783870967741947</v>
      </c>
      <c r="E28">
        <v>0.27419354838709697</v>
      </c>
      <c r="G28">
        <f t="shared" si="1"/>
        <v>4.6783870967741947</v>
      </c>
      <c r="H28">
        <f t="shared" si="2"/>
        <v>4.6783870967741947</v>
      </c>
      <c r="J28" s="5"/>
      <c r="K28" s="5"/>
      <c r="L28" s="5"/>
      <c r="M28" s="5"/>
      <c r="N28" s="5"/>
      <c r="O28" s="5"/>
      <c r="P28" s="5"/>
    </row>
    <row r="29" spans="1:16" x14ac:dyDescent="0.35">
      <c r="A29" s="2" t="s">
        <v>12</v>
      </c>
      <c r="B29" t="s">
        <v>7</v>
      </c>
      <c r="C29">
        <v>3.23</v>
      </c>
      <c r="D29" s="2">
        <f t="shared" si="0"/>
        <v>5.1783870967741938</v>
      </c>
      <c r="E29">
        <v>0.77419354838709697</v>
      </c>
      <c r="G29">
        <f t="shared" si="1"/>
        <v>5</v>
      </c>
      <c r="H29">
        <f t="shared" si="2"/>
        <v>5</v>
      </c>
      <c r="J29" s="5"/>
      <c r="K29" s="5"/>
      <c r="L29" s="5"/>
      <c r="M29" s="5"/>
      <c r="N29" s="5"/>
      <c r="O29" s="5"/>
      <c r="P29" s="5"/>
    </row>
    <row r="30" spans="1:16" x14ac:dyDescent="0.35">
      <c r="A30" s="2" t="s">
        <v>12</v>
      </c>
      <c r="B30" t="s">
        <v>8</v>
      </c>
      <c r="C30">
        <v>3.23</v>
      </c>
      <c r="D30" s="2">
        <f t="shared" si="0"/>
        <v>4.1783870967741947</v>
      </c>
      <c r="E30">
        <v>-0.22580645161290303</v>
      </c>
      <c r="G30">
        <f t="shared" si="1"/>
        <v>4.1783870967741947</v>
      </c>
      <c r="H30">
        <f t="shared" si="2"/>
        <v>4.1783870967741947</v>
      </c>
      <c r="J30" s="5"/>
      <c r="K30" s="5"/>
      <c r="L30" s="5"/>
      <c r="M30" s="5"/>
      <c r="N30" s="5"/>
      <c r="O30" s="5"/>
      <c r="P30" s="5"/>
    </row>
    <row r="31" spans="1:16" x14ac:dyDescent="0.35">
      <c r="A31" s="2" t="s">
        <v>12</v>
      </c>
      <c r="B31" t="s">
        <v>9</v>
      </c>
      <c r="C31">
        <v>3.23</v>
      </c>
      <c r="D31" s="2">
        <f t="shared" si="0"/>
        <v>3.8033870967741943</v>
      </c>
      <c r="E31">
        <v>-0.60080645161290303</v>
      </c>
      <c r="G31">
        <f t="shared" si="1"/>
        <v>3.8033870967741943</v>
      </c>
      <c r="H31">
        <f t="shared" si="2"/>
        <v>3.8033870967741943</v>
      </c>
      <c r="J31" s="5"/>
      <c r="K31" s="5"/>
      <c r="L31" s="5"/>
      <c r="M31" s="5"/>
      <c r="N31" s="5"/>
      <c r="O31" s="5"/>
      <c r="P31" s="5"/>
    </row>
    <row r="32" spans="1:16" x14ac:dyDescent="0.35">
      <c r="A32" s="2" t="s">
        <v>12</v>
      </c>
      <c r="B32" t="s">
        <v>10</v>
      </c>
      <c r="C32">
        <v>3.23</v>
      </c>
      <c r="D32" s="2">
        <f t="shared" si="0"/>
        <v>4.8450537634408608</v>
      </c>
      <c r="E32">
        <v>0.44086021505376349</v>
      </c>
      <c r="G32">
        <f t="shared" si="1"/>
        <v>4.8450537634408608</v>
      </c>
      <c r="H32">
        <f t="shared" si="2"/>
        <v>4.8450537634408608</v>
      </c>
      <c r="J32" s="5"/>
      <c r="K32" s="5"/>
      <c r="L32" s="5"/>
      <c r="M32" s="5"/>
      <c r="N32" s="5"/>
      <c r="O32" s="5"/>
      <c r="P32" s="5"/>
    </row>
    <row r="33" spans="1:16" x14ac:dyDescent="0.35">
      <c r="A33" s="2" t="s">
        <v>12</v>
      </c>
      <c r="B33" t="s">
        <v>11</v>
      </c>
      <c r="C33">
        <v>3.23</v>
      </c>
      <c r="D33" s="2">
        <f t="shared" si="0"/>
        <v>3.8450537634408608</v>
      </c>
      <c r="E33">
        <v>-0.55913978494623651</v>
      </c>
      <c r="F33" s="2">
        <v>3</v>
      </c>
      <c r="G33">
        <f t="shared" si="1"/>
        <v>3.8450537634408608</v>
      </c>
      <c r="H33">
        <f t="shared" si="2"/>
        <v>0.84505376344086081</v>
      </c>
      <c r="I33">
        <f>H33*H33</f>
        <v>0.7141158631055623</v>
      </c>
      <c r="J33" s="5"/>
      <c r="K33" s="5"/>
      <c r="L33" s="5"/>
      <c r="M33" s="5"/>
      <c r="N33" s="5"/>
      <c r="O33" s="5"/>
      <c r="P33" s="5"/>
    </row>
    <row r="34" spans="1:16" x14ac:dyDescent="0.35">
      <c r="A34" s="2" t="s">
        <v>13</v>
      </c>
      <c r="B34" t="s">
        <v>0</v>
      </c>
      <c r="C34">
        <v>3.23</v>
      </c>
      <c r="D34" s="2">
        <f>C34+E34+$P$3</f>
        <v>2.4926728110599083</v>
      </c>
      <c r="E34">
        <v>0.48847926267281139</v>
      </c>
      <c r="G34">
        <f t="shared" si="1"/>
        <v>2.4926728110599083</v>
      </c>
      <c r="H34">
        <f t="shared" si="2"/>
        <v>2.4926728110599083</v>
      </c>
      <c r="J34" s="5"/>
      <c r="K34" s="5"/>
      <c r="L34" s="5"/>
      <c r="M34" s="5"/>
      <c r="N34" s="5"/>
      <c r="O34" s="5"/>
      <c r="P34" s="5"/>
    </row>
    <row r="35" spans="1:16" x14ac:dyDescent="0.35">
      <c r="A35" s="2" t="s">
        <v>13</v>
      </c>
      <c r="B35" t="s">
        <v>1</v>
      </c>
      <c r="C35">
        <v>3.23</v>
      </c>
      <c r="D35" s="2">
        <f t="shared" ref="D35:D45" si="3">C35+E35+$P$3</f>
        <v>1.4450537634408605</v>
      </c>
      <c r="E35">
        <v>-0.55913978494623651</v>
      </c>
      <c r="G35">
        <f t="shared" si="1"/>
        <v>1.4450537634408605</v>
      </c>
      <c r="H35">
        <f t="shared" si="2"/>
        <v>1.4450537634408605</v>
      </c>
    </row>
    <row r="36" spans="1:16" x14ac:dyDescent="0.35">
      <c r="A36" s="2" t="s">
        <v>13</v>
      </c>
      <c r="B36" t="s">
        <v>2</v>
      </c>
      <c r="C36">
        <v>3.23</v>
      </c>
      <c r="D36" s="2">
        <f t="shared" si="3"/>
        <v>2.378387096774194</v>
      </c>
      <c r="E36">
        <v>0.37419354838709706</v>
      </c>
      <c r="G36">
        <f t="shared" si="1"/>
        <v>2.378387096774194</v>
      </c>
      <c r="H36">
        <f t="shared" si="2"/>
        <v>2.378387096774194</v>
      </c>
    </row>
    <row r="37" spans="1:16" x14ac:dyDescent="0.35">
      <c r="A37" s="2" t="s">
        <v>13</v>
      </c>
      <c r="B37" t="s">
        <v>3</v>
      </c>
      <c r="C37">
        <v>3.23</v>
      </c>
      <c r="D37" s="2">
        <f t="shared" si="3"/>
        <v>2.7783870967741935</v>
      </c>
      <c r="E37">
        <v>0.77419354838709697</v>
      </c>
      <c r="G37">
        <f t="shared" si="1"/>
        <v>2.7783870967741935</v>
      </c>
      <c r="H37">
        <f t="shared" si="2"/>
        <v>2.7783870967741935</v>
      </c>
    </row>
    <row r="38" spans="1:16" x14ac:dyDescent="0.35">
      <c r="A38" s="2" t="s">
        <v>13</v>
      </c>
      <c r="B38" t="s">
        <v>4</v>
      </c>
      <c r="C38">
        <v>3.23</v>
      </c>
      <c r="D38" s="2">
        <f t="shared" si="3"/>
        <v>2.2783870967741939</v>
      </c>
      <c r="E38">
        <v>0.27419354838709697</v>
      </c>
      <c r="G38">
        <f t="shared" si="1"/>
        <v>2.2783870967741939</v>
      </c>
      <c r="H38">
        <f t="shared" si="2"/>
        <v>2.2783870967741939</v>
      </c>
    </row>
    <row r="39" spans="1:16" x14ac:dyDescent="0.35">
      <c r="A39" s="2" t="s">
        <v>13</v>
      </c>
      <c r="B39" t="s">
        <v>5</v>
      </c>
      <c r="C39">
        <v>3.23</v>
      </c>
      <c r="D39" s="2">
        <f t="shared" si="3"/>
        <v>0.77838709677419393</v>
      </c>
      <c r="E39">
        <v>-1.225806451612903</v>
      </c>
      <c r="G39">
        <f t="shared" si="1"/>
        <v>0.77838709677419393</v>
      </c>
      <c r="H39">
        <f t="shared" si="2"/>
        <v>0.77838709677419393</v>
      </c>
    </row>
    <row r="40" spans="1:16" x14ac:dyDescent="0.35">
      <c r="A40" s="2" t="s">
        <v>13</v>
      </c>
      <c r="B40" t="s">
        <v>6</v>
      </c>
      <c r="C40">
        <v>3.23</v>
      </c>
      <c r="D40" s="2">
        <f t="shared" si="3"/>
        <v>2.2783870967741939</v>
      </c>
      <c r="E40">
        <v>0.27419354838709697</v>
      </c>
      <c r="F40" s="2">
        <v>3</v>
      </c>
      <c r="G40">
        <f t="shared" si="1"/>
        <v>2.2783870967741939</v>
      </c>
      <c r="H40">
        <f t="shared" si="2"/>
        <v>-0.72161290322580607</v>
      </c>
      <c r="I40">
        <f>H40*H40</f>
        <v>0.5207251821019766</v>
      </c>
    </row>
    <row r="41" spans="1:16" x14ac:dyDescent="0.35">
      <c r="A41" s="2" t="s">
        <v>13</v>
      </c>
      <c r="B41" t="s">
        <v>7</v>
      </c>
      <c r="C41">
        <v>3.23</v>
      </c>
      <c r="D41" s="2">
        <f t="shared" si="3"/>
        <v>2.7783870967741935</v>
      </c>
      <c r="E41">
        <v>0.77419354838709697</v>
      </c>
      <c r="G41">
        <f t="shared" si="1"/>
        <v>2.7783870967741935</v>
      </c>
      <c r="H41">
        <f t="shared" si="2"/>
        <v>2.7783870967741935</v>
      </c>
    </row>
    <row r="42" spans="1:16" x14ac:dyDescent="0.35">
      <c r="A42" s="2" t="s">
        <v>13</v>
      </c>
      <c r="B42" t="s">
        <v>8</v>
      </c>
      <c r="C42">
        <v>3.23</v>
      </c>
      <c r="D42" s="2">
        <f t="shared" si="3"/>
        <v>1.7783870967741939</v>
      </c>
      <c r="E42">
        <v>-0.22580645161290303</v>
      </c>
      <c r="G42">
        <f t="shared" si="1"/>
        <v>1.7783870967741939</v>
      </c>
      <c r="H42">
        <f t="shared" si="2"/>
        <v>1.7783870967741939</v>
      </c>
    </row>
    <row r="43" spans="1:16" x14ac:dyDescent="0.35">
      <c r="A43" s="2" t="s">
        <v>13</v>
      </c>
      <c r="B43" t="s">
        <v>9</v>
      </c>
      <c r="C43">
        <v>3.23</v>
      </c>
      <c r="D43" s="2">
        <f t="shared" si="3"/>
        <v>1.4033870967741939</v>
      </c>
      <c r="E43">
        <v>-0.60080645161290303</v>
      </c>
      <c r="G43">
        <f t="shared" si="1"/>
        <v>1.4033870967741939</v>
      </c>
      <c r="H43">
        <f t="shared" si="2"/>
        <v>1.4033870967741939</v>
      </c>
    </row>
    <row r="44" spans="1:16" x14ac:dyDescent="0.35">
      <c r="A44" s="2" t="s">
        <v>13</v>
      </c>
      <c r="B44" t="s">
        <v>10</v>
      </c>
      <c r="C44">
        <v>3.23</v>
      </c>
      <c r="D44" s="2">
        <f t="shared" si="3"/>
        <v>2.4450537634408605</v>
      </c>
      <c r="E44">
        <v>0.44086021505376349</v>
      </c>
      <c r="G44">
        <f t="shared" si="1"/>
        <v>2.4450537634408605</v>
      </c>
      <c r="H44">
        <f t="shared" si="2"/>
        <v>2.4450537634408605</v>
      </c>
    </row>
    <row r="45" spans="1:16" x14ac:dyDescent="0.35">
      <c r="A45" s="2" t="s">
        <v>13</v>
      </c>
      <c r="B45" t="s">
        <v>11</v>
      </c>
      <c r="C45">
        <v>3.23</v>
      </c>
      <c r="D45" s="2">
        <f t="shared" si="3"/>
        <v>1.4450537634408605</v>
      </c>
      <c r="E45">
        <v>-0.55913978494623651</v>
      </c>
      <c r="G45">
        <f t="shared" si="1"/>
        <v>1.4450537634408605</v>
      </c>
      <c r="H45">
        <f t="shared" si="2"/>
        <v>1.4450537634408605</v>
      </c>
    </row>
    <row r="46" spans="1:16" x14ac:dyDescent="0.35">
      <c r="A46" s="2" t="s">
        <v>14</v>
      </c>
      <c r="B46" t="s">
        <v>0</v>
      </c>
      <c r="C46">
        <v>3.23</v>
      </c>
      <c r="D46" s="2">
        <f>C46+E46+$P$4</f>
        <v>3.7426728110599083</v>
      </c>
      <c r="E46">
        <v>0.48847926267281139</v>
      </c>
      <c r="G46">
        <f t="shared" si="1"/>
        <v>3.7426728110599083</v>
      </c>
      <c r="H46">
        <f t="shared" si="2"/>
        <v>3.7426728110599083</v>
      </c>
    </row>
    <row r="47" spans="1:16" x14ac:dyDescent="0.35">
      <c r="A47" s="2" t="s">
        <v>14</v>
      </c>
      <c r="B47" t="s">
        <v>1</v>
      </c>
      <c r="C47">
        <v>3.23</v>
      </c>
      <c r="D47" s="2">
        <f t="shared" ref="D47:D56" si="4">C47+E47+$P$4</f>
        <v>2.6950537634408605</v>
      </c>
      <c r="E47">
        <v>-0.55913978494623651</v>
      </c>
      <c r="G47">
        <f t="shared" si="1"/>
        <v>2.6950537634408605</v>
      </c>
      <c r="H47">
        <f t="shared" si="2"/>
        <v>2.6950537634408605</v>
      </c>
    </row>
    <row r="48" spans="1:16" x14ac:dyDescent="0.35">
      <c r="A48" s="2" t="s">
        <v>14</v>
      </c>
      <c r="B48" t="s">
        <v>2</v>
      </c>
      <c r="C48">
        <v>3.23</v>
      </c>
      <c r="D48" s="2">
        <f t="shared" si="4"/>
        <v>3.628387096774194</v>
      </c>
      <c r="E48">
        <v>0.37419354838709706</v>
      </c>
      <c r="G48">
        <f t="shared" si="1"/>
        <v>3.628387096774194</v>
      </c>
      <c r="H48">
        <f t="shared" si="2"/>
        <v>3.628387096774194</v>
      </c>
    </row>
    <row r="49" spans="1:9" x14ac:dyDescent="0.35">
      <c r="A49" s="2" t="s">
        <v>14</v>
      </c>
      <c r="B49" t="s">
        <v>3</v>
      </c>
      <c r="C49">
        <v>3.23</v>
      </c>
      <c r="D49" s="2">
        <f t="shared" si="4"/>
        <v>4.0283870967741935</v>
      </c>
      <c r="E49">
        <v>0.77419354838709697</v>
      </c>
      <c r="F49" s="2">
        <v>4</v>
      </c>
      <c r="G49">
        <f t="shared" si="1"/>
        <v>4.0283870967741935</v>
      </c>
      <c r="H49">
        <f t="shared" si="2"/>
        <v>2.8387096774193488E-2</v>
      </c>
      <c r="I49">
        <f>H49*H49</f>
        <v>8.0582726326742626E-4</v>
      </c>
    </row>
    <row r="50" spans="1:9" x14ac:dyDescent="0.35">
      <c r="A50" s="2" t="s">
        <v>14</v>
      </c>
      <c r="B50" t="s">
        <v>4</v>
      </c>
      <c r="C50">
        <v>3.23</v>
      </c>
      <c r="D50" s="2">
        <f t="shared" si="4"/>
        <v>3.5283870967741939</v>
      </c>
      <c r="E50">
        <v>0.27419354838709697</v>
      </c>
      <c r="G50">
        <f t="shared" si="1"/>
        <v>3.5283870967741939</v>
      </c>
      <c r="H50">
        <f t="shared" si="2"/>
        <v>3.5283870967741939</v>
      </c>
    </row>
    <row r="51" spans="1:9" x14ac:dyDescent="0.35">
      <c r="A51" s="2" t="s">
        <v>14</v>
      </c>
      <c r="B51" t="s">
        <v>5</v>
      </c>
      <c r="C51">
        <v>3.23</v>
      </c>
      <c r="D51" s="2">
        <f t="shared" si="4"/>
        <v>2.0283870967741939</v>
      </c>
      <c r="E51">
        <v>-1.225806451612903</v>
      </c>
      <c r="G51">
        <f t="shared" si="1"/>
        <v>2.0283870967741939</v>
      </c>
      <c r="H51">
        <f t="shared" si="2"/>
        <v>2.0283870967741939</v>
      </c>
    </row>
    <row r="52" spans="1:9" x14ac:dyDescent="0.35">
      <c r="A52" s="2" t="s">
        <v>14</v>
      </c>
      <c r="B52" t="s">
        <v>6</v>
      </c>
      <c r="C52">
        <v>3.23</v>
      </c>
      <c r="D52" s="2">
        <f t="shared" si="4"/>
        <v>3.5283870967741939</v>
      </c>
      <c r="E52">
        <v>0.27419354838709697</v>
      </c>
      <c r="F52" s="2">
        <v>4</v>
      </c>
      <c r="G52">
        <f t="shared" si="1"/>
        <v>3.5283870967741939</v>
      </c>
      <c r="H52">
        <f t="shared" si="2"/>
        <v>-0.47161290322580607</v>
      </c>
      <c r="I52">
        <f t="shared" ref="I52:I53" si="5">H52*H52</f>
        <v>0.22241873048907351</v>
      </c>
    </row>
    <row r="53" spans="1:9" x14ac:dyDescent="0.35">
      <c r="A53" s="2" t="s">
        <v>14</v>
      </c>
      <c r="B53" t="s">
        <v>7</v>
      </c>
      <c r="C53">
        <v>3.23</v>
      </c>
      <c r="D53" s="2">
        <f>C53+E53+$P$4</f>
        <v>4.0283870967741935</v>
      </c>
      <c r="E53">
        <v>0.77419354838709697</v>
      </c>
      <c r="F53" s="2">
        <v>4</v>
      </c>
      <c r="G53">
        <f t="shared" si="1"/>
        <v>4.0283870967741935</v>
      </c>
      <c r="H53">
        <f t="shared" si="2"/>
        <v>2.8387096774193488E-2</v>
      </c>
      <c r="I53">
        <f t="shared" si="5"/>
        <v>8.0582726326742626E-4</v>
      </c>
    </row>
    <row r="54" spans="1:9" x14ac:dyDescent="0.35">
      <c r="A54" s="2" t="s">
        <v>14</v>
      </c>
      <c r="B54" t="s">
        <v>8</v>
      </c>
      <c r="C54">
        <v>3.23</v>
      </c>
      <c r="D54" s="2">
        <f t="shared" si="4"/>
        <v>3.0283870967741939</v>
      </c>
      <c r="E54">
        <v>-0.22580645161290303</v>
      </c>
      <c r="G54">
        <f t="shared" si="1"/>
        <v>3.0283870967741939</v>
      </c>
      <c r="H54">
        <f t="shared" si="2"/>
        <v>3.0283870967741939</v>
      </c>
    </row>
    <row r="55" spans="1:9" x14ac:dyDescent="0.35">
      <c r="A55" s="2" t="s">
        <v>14</v>
      </c>
      <c r="B55" t="s">
        <v>9</v>
      </c>
      <c r="C55">
        <v>3.23</v>
      </c>
      <c r="D55" s="2">
        <f t="shared" si="4"/>
        <v>2.6533870967741939</v>
      </c>
      <c r="E55">
        <v>-0.60080645161290303</v>
      </c>
      <c r="G55">
        <f t="shared" si="1"/>
        <v>2.6533870967741939</v>
      </c>
      <c r="H55">
        <f t="shared" si="2"/>
        <v>2.6533870967741939</v>
      </c>
    </row>
    <row r="56" spans="1:9" x14ac:dyDescent="0.35">
      <c r="A56" s="2" t="s">
        <v>14</v>
      </c>
      <c r="B56" t="s">
        <v>10</v>
      </c>
      <c r="C56">
        <v>3.23</v>
      </c>
      <c r="D56" s="2">
        <f t="shared" si="4"/>
        <v>3.6950537634408605</v>
      </c>
      <c r="E56">
        <v>0.44086021505376349</v>
      </c>
      <c r="G56">
        <f t="shared" si="1"/>
        <v>3.6950537634408605</v>
      </c>
      <c r="H56">
        <f t="shared" si="2"/>
        <v>3.6950537634408605</v>
      </c>
    </row>
    <row r="57" spans="1:9" x14ac:dyDescent="0.35">
      <c r="A57" s="2" t="s">
        <v>14</v>
      </c>
      <c r="B57" t="s">
        <v>11</v>
      </c>
      <c r="C57">
        <v>3.23</v>
      </c>
      <c r="D57" s="2">
        <f>C57+E57+$P$4</f>
        <v>2.6950537634408605</v>
      </c>
      <c r="E57">
        <v>-0.55913978494623651</v>
      </c>
      <c r="G57">
        <f t="shared" si="1"/>
        <v>2.6950537634408605</v>
      </c>
      <c r="H57">
        <f t="shared" si="2"/>
        <v>2.6950537634408605</v>
      </c>
    </row>
    <row r="58" spans="1:9" x14ac:dyDescent="0.35">
      <c r="A58" s="2" t="s">
        <v>15</v>
      </c>
      <c r="B58" t="s">
        <v>0</v>
      </c>
      <c r="C58">
        <v>3.23</v>
      </c>
      <c r="D58" s="2">
        <f>C58+E58+$P$5</f>
        <v>4.8926728110599083</v>
      </c>
      <c r="E58">
        <v>0.48847926267281139</v>
      </c>
      <c r="F58" s="3"/>
      <c r="G58">
        <f t="shared" si="1"/>
        <v>4.8926728110599083</v>
      </c>
      <c r="H58">
        <f t="shared" si="2"/>
        <v>4.8926728110599083</v>
      </c>
    </row>
    <row r="59" spans="1:9" x14ac:dyDescent="0.35">
      <c r="A59" s="2" t="s">
        <v>15</v>
      </c>
      <c r="B59" t="s">
        <v>1</v>
      </c>
      <c r="C59">
        <v>3.23</v>
      </c>
      <c r="D59" s="2">
        <f t="shared" ref="D59:D69" si="6">C59+E59+$P$5</f>
        <v>3.8450537634408608</v>
      </c>
      <c r="E59">
        <v>-0.55913978494623651</v>
      </c>
      <c r="G59">
        <f t="shared" si="1"/>
        <v>3.8450537634408608</v>
      </c>
      <c r="H59">
        <f t="shared" si="2"/>
        <v>3.8450537634408608</v>
      </c>
    </row>
    <row r="60" spans="1:9" x14ac:dyDescent="0.35">
      <c r="A60" s="2" t="s">
        <v>15</v>
      </c>
      <c r="B60" t="s">
        <v>2</v>
      </c>
      <c r="C60">
        <v>3.23</v>
      </c>
      <c r="D60" s="2">
        <f t="shared" si="6"/>
        <v>4.7783870967741944</v>
      </c>
      <c r="E60">
        <v>0.37419354838709706</v>
      </c>
      <c r="G60">
        <f t="shared" si="1"/>
        <v>4.7783870967741944</v>
      </c>
      <c r="H60">
        <f t="shared" si="2"/>
        <v>4.7783870967741944</v>
      </c>
    </row>
    <row r="61" spans="1:9" x14ac:dyDescent="0.35">
      <c r="A61" s="2" t="s">
        <v>15</v>
      </c>
      <c r="B61" t="s">
        <v>3</v>
      </c>
      <c r="C61">
        <v>3.23</v>
      </c>
      <c r="D61" s="2">
        <f t="shared" si="6"/>
        <v>5.1783870967741938</v>
      </c>
      <c r="E61">
        <v>0.77419354838709697</v>
      </c>
      <c r="G61">
        <f t="shared" si="1"/>
        <v>5</v>
      </c>
      <c r="H61">
        <f t="shared" si="2"/>
        <v>5</v>
      </c>
    </row>
    <row r="62" spans="1:9" x14ac:dyDescent="0.35">
      <c r="A62" s="2" t="s">
        <v>15</v>
      </c>
      <c r="B62" t="s">
        <v>4</v>
      </c>
      <c r="C62">
        <v>3.23</v>
      </c>
      <c r="D62" s="2">
        <f t="shared" si="6"/>
        <v>4.6783870967741947</v>
      </c>
      <c r="E62">
        <v>0.27419354838709697</v>
      </c>
      <c r="G62">
        <f t="shared" si="1"/>
        <v>4.6783870967741947</v>
      </c>
      <c r="H62">
        <f t="shared" si="2"/>
        <v>4.6783870967741947</v>
      </c>
    </row>
    <row r="63" spans="1:9" x14ac:dyDescent="0.35">
      <c r="A63" s="2" t="s">
        <v>15</v>
      </c>
      <c r="B63" t="s">
        <v>5</v>
      </c>
      <c r="C63">
        <v>3.23</v>
      </c>
      <c r="D63" s="2">
        <f t="shared" si="6"/>
        <v>3.1783870967741943</v>
      </c>
      <c r="E63">
        <v>-1.225806451612903</v>
      </c>
      <c r="F63" s="2">
        <v>3</v>
      </c>
      <c r="G63">
        <f t="shared" si="1"/>
        <v>3.1783870967741943</v>
      </c>
      <c r="H63">
        <f t="shared" si="2"/>
        <v>0.17838709677419429</v>
      </c>
      <c r="I63">
        <f>H63*H63</f>
        <v>3.1821956295525755E-2</v>
      </c>
    </row>
    <row r="64" spans="1:9" x14ac:dyDescent="0.35">
      <c r="A64" s="2" t="s">
        <v>15</v>
      </c>
      <c r="B64" t="s">
        <v>6</v>
      </c>
      <c r="C64">
        <v>3.23</v>
      </c>
      <c r="D64" s="2">
        <f t="shared" si="6"/>
        <v>4.6783870967741947</v>
      </c>
      <c r="E64">
        <v>0.27419354838709697</v>
      </c>
      <c r="G64">
        <f t="shared" si="1"/>
        <v>4.6783870967741947</v>
      </c>
      <c r="H64">
        <f t="shared" si="2"/>
        <v>4.6783870967741947</v>
      </c>
    </row>
    <row r="65" spans="1:9" x14ac:dyDescent="0.35">
      <c r="A65" s="2" t="s">
        <v>15</v>
      </c>
      <c r="B65" t="s">
        <v>7</v>
      </c>
      <c r="C65">
        <v>3.23</v>
      </c>
      <c r="D65" s="2">
        <f t="shared" si="6"/>
        <v>5.1783870967741938</v>
      </c>
      <c r="E65">
        <v>0.77419354838709697</v>
      </c>
      <c r="G65">
        <f t="shared" si="1"/>
        <v>5</v>
      </c>
      <c r="H65">
        <f t="shared" si="2"/>
        <v>5</v>
      </c>
    </row>
    <row r="66" spans="1:9" x14ac:dyDescent="0.35">
      <c r="A66" s="2" t="s">
        <v>15</v>
      </c>
      <c r="B66" t="s">
        <v>8</v>
      </c>
      <c r="C66">
        <v>3.23</v>
      </c>
      <c r="D66" s="2">
        <f t="shared" si="6"/>
        <v>4.1783870967741947</v>
      </c>
      <c r="E66">
        <v>-0.22580645161290303</v>
      </c>
      <c r="G66">
        <f t="shared" si="1"/>
        <v>4.1783870967741947</v>
      </c>
      <c r="H66">
        <f t="shared" si="2"/>
        <v>4.1783870967741947</v>
      </c>
    </row>
    <row r="67" spans="1:9" x14ac:dyDescent="0.35">
      <c r="A67" s="2" t="s">
        <v>15</v>
      </c>
      <c r="B67" t="s">
        <v>9</v>
      </c>
      <c r="C67">
        <v>3.23</v>
      </c>
      <c r="D67" s="2">
        <f t="shared" si="6"/>
        <v>3.8033870967741943</v>
      </c>
      <c r="E67">
        <v>-0.60080645161290303</v>
      </c>
      <c r="G67">
        <f t="shared" si="1"/>
        <v>3.8033870967741943</v>
      </c>
      <c r="H67">
        <f t="shared" si="2"/>
        <v>3.8033870967741943</v>
      </c>
    </row>
    <row r="68" spans="1:9" x14ac:dyDescent="0.35">
      <c r="A68" s="2" t="s">
        <v>15</v>
      </c>
      <c r="B68" t="s">
        <v>10</v>
      </c>
      <c r="C68">
        <v>3.23</v>
      </c>
      <c r="D68" s="2">
        <f t="shared" si="6"/>
        <v>4.8450537634408608</v>
      </c>
      <c r="E68">
        <v>0.44086021505376349</v>
      </c>
      <c r="G68">
        <f t="shared" si="1"/>
        <v>4.8450537634408608</v>
      </c>
      <c r="H68">
        <f t="shared" si="2"/>
        <v>4.8450537634408608</v>
      </c>
    </row>
    <row r="69" spans="1:9" x14ac:dyDescent="0.35">
      <c r="A69" s="2" t="s">
        <v>15</v>
      </c>
      <c r="B69" t="s">
        <v>11</v>
      </c>
      <c r="C69">
        <v>3.23</v>
      </c>
      <c r="D69" s="2">
        <f t="shared" si="6"/>
        <v>3.8450537634408608</v>
      </c>
      <c r="E69">
        <v>-0.55913978494623651</v>
      </c>
      <c r="G69">
        <f t="shared" si="1"/>
        <v>3.8450537634408608</v>
      </c>
      <c r="H69">
        <f t="shared" si="2"/>
        <v>3.8450537634408608</v>
      </c>
    </row>
    <row r="70" spans="1:9" x14ac:dyDescent="0.35">
      <c r="A70" s="2" t="s">
        <v>16</v>
      </c>
      <c r="B70" t="s">
        <v>0</v>
      </c>
      <c r="C70">
        <v>3.23</v>
      </c>
      <c r="D70" s="2">
        <f>C70+E70+$P$6</f>
        <v>2.4926728110599083</v>
      </c>
      <c r="E70">
        <v>0.48847926267281139</v>
      </c>
      <c r="G70">
        <f t="shared" si="1"/>
        <v>2.4926728110599083</v>
      </c>
      <c r="H70">
        <f t="shared" si="2"/>
        <v>2.4926728110599083</v>
      </c>
    </row>
    <row r="71" spans="1:9" x14ac:dyDescent="0.35">
      <c r="A71" s="2" t="s">
        <v>16</v>
      </c>
      <c r="B71" t="s">
        <v>1</v>
      </c>
      <c r="C71">
        <v>3.23</v>
      </c>
      <c r="D71" s="2">
        <f t="shared" ref="D71:D81" si="7">C71+E71+$P$6</f>
        <v>1.4450537634408605</v>
      </c>
      <c r="E71">
        <v>-0.55913978494623651</v>
      </c>
      <c r="G71">
        <f t="shared" si="1"/>
        <v>1.4450537634408605</v>
      </c>
      <c r="H71">
        <f t="shared" si="2"/>
        <v>1.4450537634408605</v>
      </c>
    </row>
    <row r="72" spans="1:9" x14ac:dyDescent="0.35">
      <c r="A72" s="2" t="s">
        <v>16</v>
      </c>
      <c r="B72" t="s">
        <v>2</v>
      </c>
      <c r="C72">
        <v>3.23</v>
      </c>
      <c r="D72" s="2">
        <f t="shared" si="7"/>
        <v>2.378387096774194</v>
      </c>
      <c r="E72">
        <v>0.37419354838709706</v>
      </c>
      <c r="G72">
        <f t="shared" si="1"/>
        <v>2.378387096774194</v>
      </c>
      <c r="H72">
        <f t="shared" si="2"/>
        <v>2.378387096774194</v>
      </c>
    </row>
    <row r="73" spans="1:9" x14ac:dyDescent="0.35">
      <c r="A73" s="2" t="s">
        <v>16</v>
      </c>
      <c r="B73" t="s">
        <v>3</v>
      </c>
      <c r="C73">
        <v>3.23</v>
      </c>
      <c r="D73" s="2">
        <f t="shared" si="7"/>
        <v>2.7783870967741935</v>
      </c>
      <c r="E73">
        <v>0.77419354838709697</v>
      </c>
      <c r="G73">
        <f t="shared" si="1"/>
        <v>2.7783870967741935</v>
      </c>
      <c r="H73">
        <f t="shared" si="2"/>
        <v>2.7783870967741935</v>
      </c>
    </row>
    <row r="74" spans="1:9" x14ac:dyDescent="0.35">
      <c r="A74" s="2" t="s">
        <v>16</v>
      </c>
      <c r="B74" t="s">
        <v>4</v>
      </c>
      <c r="C74">
        <v>3.23</v>
      </c>
      <c r="D74" s="2">
        <f t="shared" si="7"/>
        <v>2.2783870967741939</v>
      </c>
      <c r="E74">
        <v>0.27419354838709697</v>
      </c>
      <c r="G74">
        <f t="shared" si="1"/>
        <v>2.2783870967741939</v>
      </c>
      <c r="H74">
        <f t="shared" si="2"/>
        <v>2.2783870967741939</v>
      </c>
    </row>
    <row r="75" spans="1:9" x14ac:dyDescent="0.35">
      <c r="A75" s="2" t="s">
        <v>16</v>
      </c>
      <c r="B75" t="s">
        <v>5</v>
      </c>
      <c r="C75">
        <v>3.23</v>
      </c>
      <c r="D75" s="2">
        <f t="shared" si="7"/>
        <v>0.77838709677419393</v>
      </c>
      <c r="E75">
        <v>-1.225806451612903</v>
      </c>
      <c r="G75">
        <f t="shared" si="1"/>
        <v>0.77838709677419393</v>
      </c>
      <c r="H75">
        <f t="shared" si="2"/>
        <v>0.77838709677419393</v>
      </c>
    </row>
    <row r="76" spans="1:9" x14ac:dyDescent="0.35">
      <c r="A76" s="2" t="s">
        <v>16</v>
      </c>
      <c r="B76" t="s">
        <v>6</v>
      </c>
      <c r="C76">
        <v>3.23</v>
      </c>
      <c r="D76" s="2">
        <f t="shared" si="7"/>
        <v>2.2783870967741939</v>
      </c>
      <c r="E76">
        <v>0.27419354838709697</v>
      </c>
      <c r="G76">
        <f t="shared" si="1"/>
        <v>2.2783870967741939</v>
      </c>
      <c r="H76">
        <f t="shared" si="2"/>
        <v>2.2783870967741939</v>
      </c>
    </row>
    <row r="77" spans="1:9" x14ac:dyDescent="0.35">
      <c r="A77" s="2" t="s">
        <v>16</v>
      </c>
      <c r="B77" t="s">
        <v>7</v>
      </c>
      <c r="C77">
        <v>3.23</v>
      </c>
      <c r="D77" s="2">
        <f t="shared" si="7"/>
        <v>2.7783870967741935</v>
      </c>
      <c r="E77">
        <v>0.77419354838709697</v>
      </c>
      <c r="G77">
        <f t="shared" si="1"/>
        <v>2.7783870967741935</v>
      </c>
      <c r="H77">
        <f t="shared" si="2"/>
        <v>2.7783870967741935</v>
      </c>
    </row>
    <row r="78" spans="1:9" x14ac:dyDescent="0.35">
      <c r="A78" s="2" t="s">
        <v>16</v>
      </c>
      <c r="B78" t="s">
        <v>8</v>
      </c>
      <c r="C78">
        <v>3.23</v>
      </c>
      <c r="D78" s="2">
        <f t="shared" si="7"/>
        <v>1.7783870967741939</v>
      </c>
      <c r="E78">
        <v>-0.22580645161290303</v>
      </c>
      <c r="F78" s="2">
        <v>2</v>
      </c>
      <c r="G78">
        <f t="shared" si="1"/>
        <v>1.7783870967741939</v>
      </c>
      <c r="H78">
        <f t="shared" si="2"/>
        <v>-0.22161290322580607</v>
      </c>
      <c r="I78">
        <f>H78*H78</f>
        <v>4.9112278876170486E-2</v>
      </c>
    </row>
    <row r="79" spans="1:9" x14ac:dyDescent="0.35">
      <c r="A79" s="2" t="s">
        <v>16</v>
      </c>
      <c r="B79" t="s">
        <v>9</v>
      </c>
      <c r="C79">
        <v>3.23</v>
      </c>
      <c r="D79" s="2">
        <f t="shared" si="7"/>
        <v>1.4033870967741939</v>
      </c>
      <c r="E79">
        <v>-0.60080645161290303</v>
      </c>
      <c r="G79">
        <f t="shared" si="1"/>
        <v>1.4033870967741939</v>
      </c>
      <c r="H79">
        <f t="shared" si="2"/>
        <v>1.4033870967741939</v>
      </c>
    </row>
    <row r="80" spans="1:9" x14ac:dyDescent="0.35">
      <c r="A80" s="2" t="s">
        <v>16</v>
      </c>
      <c r="B80" t="s">
        <v>10</v>
      </c>
      <c r="C80">
        <v>3.23</v>
      </c>
      <c r="D80" s="2">
        <f t="shared" si="7"/>
        <v>2.4450537634408605</v>
      </c>
      <c r="E80">
        <v>0.44086021505376349</v>
      </c>
      <c r="G80">
        <f t="shared" si="1"/>
        <v>2.4450537634408605</v>
      </c>
      <c r="H80">
        <f t="shared" si="2"/>
        <v>2.4450537634408605</v>
      </c>
    </row>
    <row r="81" spans="1:9" x14ac:dyDescent="0.35">
      <c r="A81" s="2" t="s">
        <v>16</v>
      </c>
      <c r="B81" t="s">
        <v>11</v>
      </c>
      <c r="C81">
        <v>3.23</v>
      </c>
      <c r="D81" s="2">
        <f>C81+E81+$P$6</f>
        <v>1.4450537634408605</v>
      </c>
      <c r="E81">
        <v>-0.55913978494623651</v>
      </c>
      <c r="F81" s="2">
        <v>3</v>
      </c>
      <c r="G81">
        <f t="shared" si="1"/>
        <v>1.4450537634408605</v>
      </c>
      <c r="H81">
        <f t="shared" si="2"/>
        <v>-1.5549462365591395</v>
      </c>
      <c r="I81">
        <f>H81*H81</f>
        <v>2.4178577985894316</v>
      </c>
    </row>
    <row r="82" spans="1:9" x14ac:dyDescent="0.35">
      <c r="A82" s="2" t="s">
        <v>18</v>
      </c>
      <c r="B82" t="s">
        <v>0</v>
      </c>
      <c r="C82">
        <v>3.23</v>
      </c>
      <c r="D82" s="2">
        <f>C82+E82+$P$7</f>
        <v>2.9926728110599083</v>
      </c>
      <c r="E82">
        <v>0.48847926267281139</v>
      </c>
      <c r="G82">
        <f t="shared" si="1"/>
        <v>2.9926728110599083</v>
      </c>
      <c r="H82">
        <f t="shared" si="2"/>
        <v>2.9926728110599083</v>
      </c>
    </row>
    <row r="83" spans="1:9" x14ac:dyDescent="0.35">
      <c r="A83" s="2" t="s">
        <v>18</v>
      </c>
      <c r="B83" t="s">
        <v>1</v>
      </c>
      <c r="C83">
        <v>3.23</v>
      </c>
      <c r="D83" s="2">
        <f t="shared" ref="D83:D93" si="8">C83+E83+$P$7</f>
        <v>1.9450537634408605</v>
      </c>
      <c r="E83">
        <v>-0.55913978494623651</v>
      </c>
      <c r="G83">
        <f t="shared" si="1"/>
        <v>1.9450537634408605</v>
      </c>
      <c r="H83">
        <f t="shared" si="2"/>
        <v>1.9450537634408605</v>
      </c>
    </row>
    <row r="84" spans="1:9" x14ac:dyDescent="0.35">
      <c r="A84" s="2" t="s">
        <v>18</v>
      </c>
      <c r="B84" t="s">
        <v>2</v>
      </c>
      <c r="C84">
        <v>3.23</v>
      </c>
      <c r="D84" s="2">
        <f t="shared" si="8"/>
        <v>2.878387096774194</v>
      </c>
      <c r="E84">
        <v>0.37419354838709706</v>
      </c>
      <c r="G84">
        <f t="shared" si="1"/>
        <v>2.878387096774194</v>
      </c>
      <c r="H84">
        <f t="shared" si="2"/>
        <v>2.878387096774194</v>
      </c>
    </row>
    <row r="85" spans="1:9" x14ac:dyDescent="0.35">
      <c r="A85" s="2" t="s">
        <v>18</v>
      </c>
      <c r="B85" t="s">
        <v>3</v>
      </c>
      <c r="C85">
        <v>3.23</v>
      </c>
      <c r="D85" s="2">
        <f t="shared" si="8"/>
        <v>3.2783870967741935</v>
      </c>
      <c r="E85">
        <v>0.77419354838709697</v>
      </c>
      <c r="G85">
        <f t="shared" si="1"/>
        <v>3.2783870967741935</v>
      </c>
      <c r="H85">
        <f t="shared" si="2"/>
        <v>3.2783870967741935</v>
      </c>
    </row>
    <row r="86" spans="1:9" x14ac:dyDescent="0.35">
      <c r="A86" s="2" t="s">
        <v>18</v>
      </c>
      <c r="B86" t="s">
        <v>4</v>
      </c>
      <c r="C86">
        <v>3.23</v>
      </c>
      <c r="D86" s="2">
        <f t="shared" si="8"/>
        <v>2.7783870967741939</v>
      </c>
      <c r="E86">
        <v>0.27419354838709697</v>
      </c>
      <c r="G86">
        <f t="shared" si="1"/>
        <v>2.7783870967741939</v>
      </c>
      <c r="H86">
        <f t="shared" si="2"/>
        <v>2.7783870967741939</v>
      </c>
    </row>
    <row r="87" spans="1:9" x14ac:dyDescent="0.35">
      <c r="A87" s="2" t="s">
        <v>18</v>
      </c>
      <c r="B87" t="s">
        <v>5</v>
      </c>
      <c r="C87">
        <v>3.23</v>
      </c>
      <c r="D87" s="2">
        <f t="shared" si="8"/>
        <v>1.2783870967741939</v>
      </c>
      <c r="E87">
        <v>-1.225806451612903</v>
      </c>
      <c r="F87">
        <v>1</v>
      </c>
      <c r="G87">
        <f t="shared" ref="G87:G150" si="9">IF(D87&gt;5,5,D87)</f>
        <v>1.2783870967741939</v>
      </c>
      <c r="H87">
        <f>G87-F87</f>
        <v>0.27838709677419393</v>
      </c>
      <c r="I87">
        <f>H87*H87</f>
        <v>7.7499375650364424E-2</v>
      </c>
    </row>
    <row r="88" spans="1:9" x14ac:dyDescent="0.35">
      <c r="A88" s="2" t="s">
        <v>18</v>
      </c>
      <c r="B88" t="s">
        <v>6</v>
      </c>
      <c r="C88">
        <v>3.23</v>
      </c>
      <c r="D88" s="2">
        <f t="shared" si="8"/>
        <v>2.7783870967741939</v>
      </c>
      <c r="E88">
        <v>0.27419354838709697</v>
      </c>
      <c r="G88">
        <f t="shared" si="9"/>
        <v>2.7783870967741939</v>
      </c>
      <c r="H88">
        <f t="shared" ref="H87:H150" si="10">G88-F88</f>
        <v>2.7783870967741939</v>
      </c>
    </row>
    <row r="89" spans="1:9" x14ac:dyDescent="0.35">
      <c r="A89" s="2" t="s">
        <v>18</v>
      </c>
      <c r="B89" t="s">
        <v>7</v>
      </c>
      <c r="C89">
        <v>3.23</v>
      </c>
      <c r="D89" s="2">
        <f t="shared" si="8"/>
        <v>3.2783870967741935</v>
      </c>
      <c r="E89">
        <v>0.77419354838709697</v>
      </c>
      <c r="G89">
        <f t="shared" si="9"/>
        <v>3.2783870967741935</v>
      </c>
      <c r="H89">
        <f t="shared" si="10"/>
        <v>3.2783870967741935</v>
      </c>
    </row>
    <row r="90" spans="1:9" x14ac:dyDescent="0.35">
      <c r="A90" s="2" t="s">
        <v>18</v>
      </c>
      <c r="B90" t="s">
        <v>8</v>
      </c>
      <c r="C90">
        <v>3.23</v>
      </c>
      <c r="D90" s="2">
        <f t="shared" si="8"/>
        <v>2.2783870967741939</v>
      </c>
      <c r="E90">
        <v>-0.22580645161290303</v>
      </c>
      <c r="G90">
        <f t="shared" si="9"/>
        <v>2.2783870967741939</v>
      </c>
      <c r="H90">
        <f t="shared" si="10"/>
        <v>2.2783870967741939</v>
      </c>
    </row>
    <row r="91" spans="1:9" x14ac:dyDescent="0.35">
      <c r="A91" s="2" t="s">
        <v>18</v>
      </c>
      <c r="B91" t="s">
        <v>9</v>
      </c>
      <c r="C91">
        <v>3.23</v>
      </c>
      <c r="D91" s="2">
        <f t="shared" si="8"/>
        <v>1.9033870967741939</v>
      </c>
      <c r="E91">
        <v>-0.60080645161290303</v>
      </c>
      <c r="F91" s="2"/>
      <c r="G91">
        <f t="shared" si="9"/>
        <v>1.9033870967741939</v>
      </c>
      <c r="H91">
        <f t="shared" si="10"/>
        <v>1.9033870967741939</v>
      </c>
    </row>
    <row r="92" spans="1:9" x14ac:dyDescent="0.35">
      <c r="A92" s="2" t="s">
        <v>18</v>
      </c>
      <c r="B92" t="s">
        <v>10</v>
      </c>
      <c r="C92">
        <v>3.23</v>
      </c>
      <c r="D92" s="2">
        <f t="shared" si="8"/>
        <v>2.9450537634408605</v>
      </c>
      <c r="E92">
        <v>0.44086021505376349</v>
      </c>
      <c r="F92" s="2"/>
      <c r="G92">
        <f t="shared" si="9"/>
        <v>2.9450537634408605</v>
      </c>
      <c r="H92">
        <f t="shared" si="10"/>
        <v>2.9450537634408605</v>
      </c>
    </row>
    <row r="93" spans="1:9" x14ac:dyDescent="0.35">
      <c r="A93" s="2" t="s">
        <v>18</v>
      </c>
      <c r="B93" t="s">
        <v>11</v>
      </c>
      <c r="C93">
        <v>3.23</v>
      </c>
      <c r="D93" s="2">
        <f t="shared" si="8"/>
        <v>1.9450537634408605</v>
      </c>
      <c r="E93">
        <v>-0.55913978494623651</v>
      </c>
      <c r="G93">
        <f t="shared" si="9"/>
        <v>1.9450537634408605</v>
      </c>
      <c r="H93">
        <f t="shared" si="10"/>
        <v>1.9450537634408605</v>
      </c>
    </row>
    <row r="94" spans="1:9" x14ac:dyDescent="0.35">
      <c r="A94" s="2" t="s">
        <v>19</v>
      </c>
      <c r="B94" t="s">
        <v>0</v>
      </c>
      <c r="C94">
        <v>3.23</v>
      </c>
      <c r="D94" s="2">
        <f>C94+E94+$P$8</f>
        <v>3.3260061443932418</v>
      </c>
      <c r="E94">
        <v>0.48847926267281139</v>
      </c>
      <c r="G94">
        <f t="shared" si="9"/>
        <v>3.3260061443932418</v>
      </c>
      <c r="H94">
        <f t="shared" si="10"/>
        <v>3.3260061443932418</v>
      </c>
    </row>
    <row r="95" spans="1:9" x14ac:dyDescent="0.35">
      <c r="A95" s="2" t="s">
        <v>19</v>
      </c>
      <c r="B95" t="s">
        <v>1</v>
      </c>
      <c r="C95">
        <v>3.23</v>
      </c>
      <c r="D95" s="2">
        <f t="shared" ref="D95:D105" si="11">C95+E95+$P$8</f>
        <v>2.2783870967741939</v>
      </c>
      <c r="E95">
        <v>-0.55913978494623651</v>
      </c>
      <c r="F95" s="2"/>
      <c r="G95">
        <f t="shared" si="9"/>
        <v>2.2783870967741939</v>
      </c>
      <c r="H95">
        <f t="shared" si="10"/>
        <v>2.2783870967741939</v>
      </c>
    </row>
    <row r="96" spans="1:9" x14ac:dyDescent="0.35">
      <c r="A96" s="2" t="s">
        <v>19</v>
      </c>
      <c r="B96" t="s">
        <v>2</v>
      </c>
      <c r="C96">
        <v>3.23</v>
      </c>
      <c r="D96" s="2">
        <f t="shared" si="11"/>
        <v>3.2117204301075275</v>
      </c>
      <c r="E96">
        <v>0.37419354838709706</v>
      </c>
      <c r="G96">
        <f t="shared" si="9"/>
        <v>3.2117204301075275</v>
      </c>
      <c r="H96">
        <f t="shared" si="10"/>
        <v>3.2117204301075275</v>
      </c>
    </row>
    <row r="97" spans="1:8" x14ac:dyDescent="0.35">
      <c r="A97" s="2" t="s">
        <v>19</v>
      </c>
      <c r="B97" t="s">
        <v>3</v>
      </c>
      <c r="C97">
        <v>3.23</v>
      </c>
      <c r="D97" s="2">
        <f t="shared" si="11"/>
        <v>3.611720430107527</v>
      </c>
      <c r="E97">
        <v>0.77419354838709697</v>
      </c>
      <c r="G97">
        <f t="shared" si="9"/>
        <v>3.611720430107527</v>
      </c>
      <c r="H97">
        <f t="shared" si="10"/>
        <v>3.611720430107527</v>
      </c>
    </row>
    <row r="98" spans="1:8" x14ac:dyDescent="0.35">
      <c r="A98" s="2" t="s">
        <v>19</v>
      </c>
      <c r="B98" t="s">
        <v>4</v>
      </c>
      <c r="C98">
        <v>3.23</v>
      </c>
      <c r="D98" s="2">
        <f t="shared" si="11"/>
        <v>3.1117204301075274</v>
      </c>
      <c r="E98">
        <v>0.27419354838709697</v>
      </c>
      <c r="F98" s="2"/>
      <c r="G98">
        <f t="shared" si="9"/>
        <v>3.1117204301075274</v>
      </c>
      <c r="H98">
        <f t="shared" si="10"/>
        <v>3.1117204301075274</v>
      </c>
    </row>
    <row r="99" spans="1:8" x14ac:dyDescent="0.35">
      <c r="A99" s="2" t="s">
        <v>19</v>
      </c>
      <c r="B99" t="s">
        <v>5</v>
      </c>
      <c r="C99">
        <v>3.23</v>
      </c>
      <c r="D99" s="2">
        <f t="shared" si="11"/>
        <v>1.6117204301075274</v>
      </c>
      <c r="E99">
        <v>-1.225806451612903</v>
      </c>
      <c r="G99">
        <f t="shared" si="9"/>
        <v>1.6117204301075274</v>
      </c>
      <c r="H99">
        <f t="shared" si="10"/>
        <v>1.6117204301075274</v>
      </c>
    </row>
    <row r="100" spans="1:8" x14ac:dyDescent="0.35">
      <c r="A100" s="2" t="s">
        <v>19</v>
      </c>
      <c r="B100" t="s">
        <v>6</v>
      </c>
      <c r="C100">
        <v>3.23</v>
      </c>
      <c r="D100" s="2">
        <f t="shared" si="11"/>
        <v>3.1117204301075274</v>
      </c>
      <c r="E100">
        <v>0.27419354838709697</v>
      </c>
      <c r="F100" s="2"/>
      <c r="G100">
        <f t="shared" si="9"/>
        <v>3.1117204301075274</v>
      </c>
      <c r="H100">
        <f t="shared" si="10"/>
        <v>3.1117204301075274</v>
      </c>
    </row>
    <row r="101" spans="1:8" x14ac:dyDescent="0.35">
      <c r="A101" s="2" t="s">
        <v>19</v>
      </c>
      <c r="B101" t="s">
        <v>7</v>
      </c>
      <c r="C101">
        <v>3.23</v>
      </c>
      <c r="D101" s="2">
        <f t="shared" si="11"/>
        <v>3.611720430107527</v>
      </c>
      <c r="E101">
        <v>0.77419354838709697</v>
      </c>
      <c r="G101">
        <f t="shared" si="9"/>
        <v>3.611720430107527</v>
      </c>
      <c r="H101">
        <f t="shared" si="10"/>
        <v>3.611720430107527</v>
      </c>
    </row>
    <row r="102" spans="1:8" x14ac:dyDescent="0.35">
      <c r="A102" s="2" t="s">
        <v>19</v>
      </c>
      <c r="B102" t="s">
        <v>8</v>
      </c>
      <c r="C102">
        <v>3.23</v>
      </c>
      <c r="D102" s="2">
        <f t="shared" si="11"/>
        <v>2.6117204301075274</v>
      </c>
      <c r="E102">
        <v>-0.22580645161290303</v>
      </c>
      <c r="F102" s="2"/>
      <c r="G102">
        <f t="shared" si="9"/>
        <v>2.6117204301075274</v>
      </c>
      <c r="H102">
        <f t="shared" si="10"/>
        <v>2.6117204301075274</v>
      </c>
    </row>
    <row r="103" spans="1:8" x14ac:dyDescent="0.35">
      <c r="A103" s="2" t="s">
        <v>19</v>
      </c>
      <c r="B103" t="s">
        <v>9</v>
      </c>
      <c r="C103">
        <v>3.23</v>
      </c>
      <c r="D103" s="2">
        <f t="shared" si="11"/>
        <v>2.2367204301075274</v>
      </c>
      <c r="E103">
        <v>-0.60080645161290303</v>
      </c>
      <c r="G103">
        <f t="shared" si="9"/>
        <v>2.2367204301075274</v>
      </c>
      <c r="H103">
        <f t="shared" si="10"/>
        <v>2.2367204301075274</v>
      </c>
    </row>
    <row r="104" spans="1:8" x14ac:dyDescent="0.35">
      <c r="A104" s="2" t="s">
        <v>19</v>
      </c>
      <c r="B104" t="s">
        <v>10</v>
      </c>
      <c r="C104">
        <v>3.23</v>
      </c>
      <c r="D104" s="2">
        <f t="shared" si="11"/>
        <v>3.2783870967741939</v>
      </c>
      <c r="E104">
        <v>0.44086021505376349</v>
      </c>
      <c r="G104">
        <f t="shared" si="9"/>
        <v>3.2783870967741939</v>
      </c>
      <c r="H104">
        <f t="shared" si="10"/>
        <v>3.2783870967741939</v>
      </c>
    </row>
    <row r="105" spans="1:8" x14ac:dyDescent="0.35">
      <c r="A105" s="2" t="s">
        <v>19</v>
      </c>
      <c r="B105" t="s">
        <v>11</v>
      </c>
      <c r="C105">
        <v>3.23</v>
      </c>
      <c r="D105" s="2">
        <f t="shared" si="11"/>
        <v>2.2783870967741939</v>
      </c>
      <c r="E105">
        <v>-0.55913978494623651</v>
      </c>
      <c r="F105" s="2"/>
      <c r="G105">
        <f t="shared" si="9"/>
        <v>2.2783870967741939</v>
      </c>
      <c r="H105">
        <f t="shared" si="10"/>
        <v>2.2783870967741939</v>
      </c>
    </row>
    <row r="106" spans="1:8" x14ac:dyDescent="0.35">
      <c r="A106" s="2" t="s">
        <v>20</v>
      </c>
      <c r="B106" t="s">
        <v>0</v>
      </c>
      <c r="C106">
        <v>3.23</v>
      </c>
      <c r="D106" s="2">
        <f>C106+E106+$P$9</f>
        <v>2.6593394777265749</v>
      </c>
      <c r="E106">
        <v>0.48847926267281139</v>
      </c>
      <c r="F106" s="2"/>
      <c r="G106">
        <f t="shared" si="9"/>
        <v>2.6593394777265749</v>
      </c>
      <c r="H106">
        <f t="shared" si="10"/>
        <v>2.6593394777265749</v>
      </c>
    </row>
    <row r="107" spans="1:8" x14ac:dyDescent="0.35">
      <c r="A107" s="2" t="s">
        <v>20</v>
      </c>
      <c r="B107" t="s">
        <v>1</v>
      </c>
      <c r="C107">
        <v>3.23</v>
      </c>
      <c r="D107" s="2">
        <f t="shared" ref="D107:D117" si="12">C107+E107+$P$9</f>
        <v>1.611720430107527</v>
      </c>
      <c r="E107">
        <v>-0.55913978494623651</v>
      </c>
      <c r="G107">
        <f t="shared" si="9"/>
        <v>1.611720430107527</v>
      </c>
      <c r="H107">
        <f t="shared" si="10"/>
        <v>1.611720430107527</v>
      </c>
    </row>
    <row r="108" spans="1:8" x14ac:dyDescent="0.35">
      <c r="A108" s="2" t="s">
        <v>20</v>
      </c>
      <c r="B108" t="s">
        <v>2</v>
      </c>
      <c r="C108">
        <v>3.23</v>
      </c>
      <c r="D108" s="2">
        <f t="shared" si="12"/>
        <v>2.5450537634408605</v>
      </c>
      <c r="E108">
        <v>0.37419354838709706</v>
      </c>
      <c r="F108" s="2"/>
      <c r="G108">
        <f t="shared" si="9"/>
        <v>2.5450537634408605</v>
      </c>
      <c r="H108">
        <f t="shared" si="10"/>
        <v>2.5450537634408605</v>
      </c>
    </row>
    <row r="109" spans="1:8" x14ac:dyDescent="0.35">
      <c r="A109" s="2" t="s">
        <v>20</v>
      </c>
      <c r="B109" t="s">
        <v>3</v>
      </c>
      <c r="C109">
        <v>3.23</v>
      </c>
      <c r="D109" s="2">
        <f t="shared" si="12"/>
        <v>2.94505376344086</v>
      </c>
      <c r="E109">
        <v>0.77419354838709697</v>
      </c>
      <c r="F109" s="2"/>
      <c r="G109">
        <f t="shared" si="9"/>
        <v>2.94505376344086</v>
      </c>
      <c r="H109">
        <f t="shared" si="10"/>
        <v>2.94505376344086</v>
      </c>
    </row>
    <row r="110" spans="1:8" x14ac:dyDescent="0.35">
      <c r="A110" s="2" t="s">
        <v>20</v>
      </c>
      <c r="B110" t="s">
        <v>4</v>
      </c>
      <c r="C110">
        <v>3.23</v>
      </c>
      <c r="D110" s="2">
        <f t="shared" si="12"/>
        <v>2.4450537634408605</v>
      </c>
      <c r="E110">
        <v>0.27419354838709697</v>
      </c>
      <c r="G110">
        <f t="shared" si="9"/>
        <v>2.4450537634408605</v>
      </c>
      <c r="H110">
        <f t="shared" si="10"/>
        <v>2.4450537634408605</v>
      </c>
    </row>
    <row r="111" spans="1:8" x14ac:dyDescent="0.35">
      <c r="A111" s="2" t="s">
        <v>20</v>
      </c>
      <c r="B111" t="s">
        <v>5</v>
      </c>
      <c r="C111">
        <v>3.23</v>
      </c>
      <c r="D111" s="2">
        <f t="shared" si="12"/>
        <v>0.94505376344086045</v>
      </c>
      <c r="E111">
        <v>-1.225806451612903</v>
      </c>
      <c r="F111" s="2"/>
      <c r="G111">
        <f t="shared" si="9"/>
        <v>0.94505376344086045</v>
      </c>
      <c r="H111">
        <f t="shared" si="10"/>
        <v>0.94505376344086045</v>
      </c>
    </row>
    <row r="112" spans="1:8" x14ac:dyDescent="0.35">
      <c r="A112" s="2" t="s">
        <v>20</v>
      </c>
      <c r="B112" t="s">
        <v>6</v>
      </c>
      <c r="C112">
        <v>3.23</v>
      </c>
      <c r="D112" s="2">
        <f t="shared" si="12"/>
        <v>2.4450537634408605</v>
      </c>
      <c r="E112">
        <v>0.27419354838709697</v>
      </c>
      <c r="G112">
        <f t="shared" si="9"/>
        <v>2.4450537634408605</v>
      </c>
      <c r="H112">
        <f t="shared" si="10"/>
        <v>2.4450537634408605</v>
      </c>
    </row>
    <row r="113" spans="1:9" x14ac:dyDescent="0.35">
      <c r="A113" s="2" t="s">
        <v>20</v>
      </c>
      <c r="B113" t="s">
        <v>7</v>
      </c>
      <c r="C113">
        <v>3.23</v>
      </c>
      <c r="D113" s="2">
        <f t="shared" si="12"/>
        <v>2.94505376344086</v>
      </c>
      <c r="E113">
        <v>0.77419354838709697</v>
      </c>
      <c r="F113" s="2"/>
      <c r="G113">
        <f t="shared" si="9"/>
        <v>2.94505376344086</v>
      </c>
      <c r="H113">
        <f t="shared" si="10"/>
        <v>2.94505376344086</v>
      </c>
    </row>
    <row r="114" spans="1:9" x14ac:dyDescent="0.35">
      <c r="A114" s="2" t="s">
        <v>20</v>
      </c>
      <c r="B114" t="s">
        <v>8</v>
      </c>
      <c r="C114">
        <v>3.23</v>
      </c>
      <c r="D114" s="2">
        <f t="shared" si="12"/>
        <v>1.9450537634408605</v>
      </c>
      <c r="E114">
        <v>-0.22580645161290303</v>
      </c>
      <c r="F114" s="2"/>
      <c r="G114">
        <f t="shared" si="9"/>
        <v>1.9450537634408605</v>
      </c>
      <c r="H114">
        <f t="shared" si="10"/>
        <v>1.9450537634408605</v>
      </c>
    </row>
    <row r="115" spans="1:9" x14ac:dyDescent="0.35">
      <c r="A115" s="2" t="s">
        <v>20</v>
      </c>
      <c r="B115" t="s">
        <v>9</v>
      </c>
      <c r="C115">
        <v>3.23</v>
      </c>
      <c r="D115" s="2">
        <f t="shared" si="12"/>
        <v>1.5700537634408605</v>
      </c>
      <c r="E115">
        <v>-0.60080645161290303</v>
      </c>
      <c r="G115">
        <f t="shared" si="9"/>
        <v>1.5700537634408605</v>
      </c>
      <c r="H115">
        <f t="shared" si="10"/>
        <v>1.5700537634408605</v>
      </c>
    </row>
    <row r="116" spans="1:9" x14ac:dyDescent="0.35">
      <c r="A116" s="2" t="s">
        <v>20</v>
      </c>
      <c r="B116" t="s">
        <v>10</v>
      </c>
      <c r="C116">
        <v>3.23</v>
      </c>
      <c r="D116" s="2">
        <f t="shared" si="12"/>
        <v>2.611720430107527</v>
      </c>
      <c r="E116">
        <v>0.44086021505376349</v>
      </c>
      <c r="G116">
        <f t="shared" si="9"/>
        <v>2.611720430107527</v>
      </c>
      <c r="H116">
        <f t="shared" si="10"/>
        <v>2.611720430107527</v>
      </c>
    </row>
    <row r="117" spans="1:9" x14ac:dyDescent="0.35">
      <c r="A117" s="2" t="s">
        <v>20</v>
      </c>
      <c r="B117" t="s">
        <v>11</v>
      </c>
      <c r="C117">
        <v>3.23</v>
      </c>
      <c r="D117" s="2">
        <f t="shared" si="12"/>
        <v>1.611720430107527</v>
      </c>
      <c r="E117">
        <v>-0.55913978494623651</v>
      </c>
      <c r="G117">
        <f t="shared" si="9"/>
        <v>1.611720430107527</v>
      </c>
      <c r="H117">
        <f t="shared" si="10"/>
        <v>1.611720430107527</v>
      </c>
    </row>
    <row r="118" spans="1:9" x14ac:dyDescent="0.35">
      <c r="A118" s="2" t="s">
        <v>21</v>
      </c>
      <c r="B118" t="s">
        <v>0</v>
      </c>
      <c r="C118">
        <v>3.23</v>
      </c>
      <c r="D118" s="2">
        <f>C118+E118+$P$10</f>
        <v>2.4926728110599083</v>
      </c>
      <c r="E118">
        <v>0.48847926267281139</v>
      </c>
      <c r="G118">
        <f t="shared" si="9"/>
        <v>2.4926728110599083</v>
      </c>
      <c r="H118">
        <f t="shared" si="10"/>
        <v>2.4926728110599083</v>
      </c>
    </row>
    <row r="119" spans="1:9" x14ac:dyDescent="0.35">
      <c r="A119" s="2" t="s">
        <v>21</v>
      </c>
      <c r="B119" t="s">
        <v>1</v>
      </c>
      <c r="C119">
        <v>3.23</v>
      </c>
      <c r="D119" s="2">
        <f t="shared" ref="D119:D129" si="13">C119+E119+$P$10</f>
        <v>1.4450537634408605</v>
      </c>
      <c r="E119">
        <v>-0.55913978494623651</v>
      </c>
      <c r="F119" s="2">
        <v>1</v>
      </c>
      <c r="G119">
        <f t="shared" si="9"/>
        <v>1.4450537634408605</v>
      </c>
      <c r="H119">
        <f t="shared" si="10"/>
        <v>0.44505376344086045</v>
      </c>
      <c r="I119">
        <f>H119*H119</f>
        <v>0.19807285235287336</v>
      </c>
    </row>
    <row r="120" spans="1:9" x14ac:dyDescent="0.35">
      <c r="A120" s="2" t="s">
        <v>21</v>
      </c>
      <c r="B120" t="s">
        <v>2</v>
      </c>
      <c r="C120">
        <v>3.23</v>
      </c>
      <c r="D120" s="2">
        <f t="shared" si="13"/>
        <v>2.378387096774194</v>
      </c>
      <c r="E120">
        <v>0.37419354838709706</v>
      </c>
      <c r="F120" s="2"/>
      <c r="G120">
        <f t="shared" si="9"/>
        <v>2.378387096774194</v>
      </c>
      <c r="H120">
        <f t="shared" si="10"/>
        <v>2.378387096774194</v>
      </c>
    </row>
    <row r="121" spans="1:9" x14ac:dyDescent="0.35">
      <c r="A121" s="2" t="s">
        <v>21</v>
      </c>
      <c r="B121" t="s">
        <v>3</v>
      </c>
      <c r="C121">
        <v>3.23</v>
      </c>
      <c r="D121" s="2">
        <f t="shared" si="13"/>
        <v>2.7783870967741935</v>
      </c>
      <c r="E121">
        <v>0.77419354838709697</v>
      </c>
      <c r="G121">
        <f t="shared" si="9"/>
        <v>2.7783870967741935</v>
      </c>
      <c r="H121">
        <f t="shared" si="10"/>
        <v>2.7783870967741935</v>
      </c>
    </row>
    <row r="122" spans="1:9" x14ac:dyDescent="0.35">
      <c r="A122" s="2" t="s">
        <v>21</v>
      </c>
      <c r="B122" t="s">
        <v>4</v>
      </c>
      <c r="C122">
        <v>3.23</v>
      </c>
      <c r="D122" s="2">
        <f t="shared" si="13"/>
        <v>2.2783870967741939</v>
      </c>
      <c r="E122">
        <v>0.27419354838709697</v>
      </c>
      <c r="G122">
        <f t="shared" si="9"/>
        <v>2.2783870967741939</v>
      </c>
      <c r="H122">
        <f t="shared" si="10"/>
        <v>2.2783870967741939</v>
      </c>
    </row>
    <row r="123" spans="1:9" x14ac:dyDescent="0.35">
      <c r="A123" s="2" t="s">
        <v>21</v>
      </c>
      <c r="B123" t="s">
        <v>5</v>
      </c>
      <c r="C123">
        <v>3.23</v>
      </c>
      <c r="D123" s="2">
        <f t="shared" si="13"/>
        <v>0.77838709677419393</v>
      </c>
      <c r="E123">
        <v>-1.225806451612903</v>
      </c>
      <c r="G123">
        <f t="shared" si="9"/>
        <v>0.77838709677419393</v>
      </c>
      <c r="H123">
        <f t="shared" si="10"/>
        <v>0.77838709677419393</v>
      </c>
    </row>
    <row r="124" spans="1:9" x14ac:dyDescent="0.35">
      <c r="A124" s="2" t="s">
        <v>21</v>
      </c>
      <c r="B124" t="s">
        <v>6</v>
      </c>
      <c r="C124">
        <v>3.23</v>
      </c>
      <c r="D124" s="2">
        <f t="shared" si="13"/>
        <v>2.2783870967741939</v>
      </c>
      <c r="E124">
        <v>0.27419354838709697</v>
      </c>
      <c r="G124">
        <f t="shared" si="9"/>
        <v>2.2783870967741939</v>
      </c>
      <c r="H124">
        <f t="shared" si="10"/>
        <v>2.2783870967741939</v>
      </c>
    </row>
    <row r="125" spans="1:9" x14ac:dyDescent="0.35">
      <c r="A125" s="2" t="s">
        <v>21</v>
      </c>
      <c r="B125" t="s">
        <v>7</v>
      </c>
      <c r="C125">
        <v>3.23</v>
      </c>
      <c r="D125" s="2">
        <f t="shared" si="13"/>
        <v>2.7783870967741935</v>
      </c>
      <c r="E125">
        <v>0.77419354838709697</v>
      </c>
      <c r="G125">
        <f t="shared" si="9"/>
        <v>2.7783870967741935</v>
      </c>
      <c r="H125">
        <f t="shared" si="10"/>
        <v>2.7783870967741935</v>
      </c>
    </row>
    <row r="126" spans="1:9" x14ac:dyDescent="0.35">
      <c r="A126" s="2" t="s">
        <v>21</v>
      </c>
      <c r="B126" t="s">
        <v>8</v>
      </c>
      <c r="C126">
        <v>3.23</v>
      </c>
      <c r="D126" s="2">
        <f t="shared" si="13"/>
        <v>1.7783870967741939</v>
      </c>
      <c r="E126">
        <v>-0.22580645161290303</v>
      </c>
      <c r="G126">
        <f t="shared" si="9"/>
        <v>1.7783870967741939</v>
      </c>
      <c r="H126">
        <f t="shared" si="10"/>
        <v>1.7783870967741939</v>
      </c>
    </row>
    <row r="127" spans="1:9" x14ac:dyDescent="0.35">
      <c r="A127" s="2" t="s">
        <v>21</v>
      </c>
      <c r="B127" t="s">
        <v>9</v>
      </c>
      <c r="C127">
        <v>3.23</v>
      </c>
      <c r="D127" s="2">
        <f t="shared" si="13"/>
        <v>1.4033870967741939</v>
      </c>
      <c r="E127">
        <v>-0.60080645161290303</v>
      </c>
      <c r="G127">
        <f t="shared" si="9"/>
        <v>1.4033870967741939</v>
      </c>
      <c r="H127">
        <f t="shared" si="10"/>
        <v>1.4033870967741939</v>
      </c>
    </row>
    <row r="128" spans="1:9" x14ac:dyDescent="0.35">
      <c r="A128" s="2" t="s">
        <v>21</v>
      </c>
      <c r="B128" t="s">
        <v>10</v>
      </c>
      <c r="C128">
        <v>3.23</v>
      </c>
      <c r="D128" s="2">
        <f t="shared" si="13"/>
        <v>2.4450537634408605</v>
      </c>
      <c r="E128">
        <v>0.44086021505376349</v>
      </c>
      <c r="G128">
        <f t="shared" si="9"/>
        <v>2.4450537634408605</v>
      </c>
      <c r="H128">
        <f t="shared" si="10"/>
        <v>2.4450537634408605</v>
      </c>
    </row>
    <row r="129" spans="1:9" x14ac:dyDescent="0.35">
      <c r="A129" s="2" t="s">
        <v>21</v>
      </c>
      <c r="B129" t="s">
        <v>11</v>
      </c>
      <c r="C129">
        <v>3.23</v>
      </c>
      <c r="D129" s="2">
        <f t="shared" si="13"/>
        <v>1.4450537634408605</v>
      </c>
      <c r="E129">
        <v>-0.55913978494623651</v>
      </c>
      <c r="F129" s="2">
        <v>1</v>
      </c>
      <c r="G129">
        <f t="shared" si="9"/>
        <v>1.4450537634408605</v>
      </c>
      <c r="H129">
        <f t="shared" si="10"/>
        <v>0.44505376344086045</v>
      </c>
      <c r="I129">
        <f>H129*H129</f>
        <v>0.19807285235287336</v>
      </c>
    </row>
    <row r="130" spans="1:9" x14ac:dyDescent="0.35">
      <c r="A130" s="2" t="s">
        <v>22</v>
      </c>
      <c r="B130" t="s">
        <v>0</v>
      </c>
      <c r="C130">
        <v>3.23</v>
      </c>
      <c r="D130" s="2">
        <f>C130+E130+$P$11</f>
        <v>3.9926728110599083</v>
      </c>
      <c r="E130">
        <v>0.48847926267281139</v>
      </c>
      <c r="G130">
        <f t="shared" si="9"/>
        <v>3.9926728110599083</v>
      </c>
      <c r="H130">
        <f t="shared" si="10"/>
        <v>3.9926728110599083</v>
      </c>
    </row>
    <row r="131" spans="1:9" x14ac:dyDescent="0.35">
      <c r="A131" s="2" t="s">
        <v>22</v>
      </c>
      <c r="B131" t="s">
        <v>1</v>
      </c>
      <c r="C131">
        <v>3.23</v>
      </c>
      <c r="D131" s="2">
        <f t="shared" ref="D131:D141" si="14">C131+E131+$P$11</f>
        <v>2.9450537634408605</v>
      </c>
      <c r="E131">
        <v>-0.55913978494623651</v>
      </c>
      <c r="G131">
        <f t="shared" si="9"/>
        <v>2.9450537634408605</v>
      </c>
      <c r="H131">
        <f t="shared" si="10"/>
        <v>2.9450537634408605</v>
      </c>
    </row>
    <row r="132" spans="1:9" x14ac:dyDescent="0.35">
      <c r="A132" s="2" t="s">
        <v>22</v>
      </c>
      <c r="B132" t="s">
        <v>2</v>
      </c>
      <c r="C132">
        <v>3.23</v>
      </c>
      <c r="D132" s="2">
        <f t="shared" si="14"/>
        <v>3.878387096774194</v>
      </c>
      <c r="E132">
        <v>0.37419354838709706</v>
      </c>
      <c r="G132">
        <f t="shared" si="9"/>
        <v>3.878387096774194</v>
      </c>
      <c r="H132">
        <f t="shared" si="10"/>
        <v>3.878387096774194</v>
      </c>
    </row>
    <row r="133" spans="1:9" x14ac:dyDescent="0.35">
      <c r="A133" s="2" t="s">
        <v>22</v>
      </c>
      <c r="B133" t="s">
        <v>3</v>
      </c>
      <c r="C133">
        <v>3.23</v>
      </c>
      <c r="D133" s="2">
        <f t="shared" si="14"/>
        <v>4.2783870967741935</v>
      </c>
      <c r="E133">
        <v>0.77419354838709697</v>
      </c>
      <c r="G133">
        <f t="shared" si="9"/>
        <v>4.2783870967741935</v>
      </c>
      <c r="H133">
        <f t="shared" si="10"/>
        <v>4.2783870967741935</v>
      </c>
    </row>
    <row r="134" spans="1:9" x14ac:dyDescent="0.35">
      <c r="A134" s="2" t="s">
        <v>22</v>
      </c>
      <c r="B134" t="s">
        <v>4</v>
      </c>
      <c r="C134">
        <v>3.23</v>
      </c>
      <c r="D134" s="2">
        <f t="shared" si="14"/>
        <v>3.7783870967741939</v>
      </c>
      <c r="E134">
        <v>0.27419354838709697</v>
      </c>
      <c r="G134">
        <f t="shared" si="9"/>
        <v>3.7783870967741939</v>
      </c>
      <c r="H134">
        <f t="shared" si="10"/>
        <v>3.7783870967741939</v>
      </c>
    </row>
    <row r="135" spans="1:9" x14ac:dyDescent="0.35">
      <c r="A135" s="2" t="s">
        <v>22</v>
      </c>
      <c r="B135" t="s">
        <v>5</v>
      </c>
      <c r="C135">
        <v>3.23</v>
      </c>
      <c r="D135" s="2">
        <f t="shared" si="14"/>
        <v>2.2783870967741939</v>
      </c>
      <c r="E135">
        <v>-1.225806451612903</v>
      </c>
      <c r="F135" s="2">
        <v>4</v>
      </c>
      <c r="G135">
        <f t="shared" si="9"/>
        <v>2.2783870967741939</v>
      </c>
      <c r="H135">
        <f t="shared" si="10"/>
        <v>-1.7216129032258061</v>
      </c>
      <c r="I135">
        <f>H135*H135</f>
        <v>2.9639509885535889</v>
      </c>
    </row>
    <row r="136" spans="1:9" x14ac:dyDescent="0.35">
      <c r="A136" s="2" t="s">
        <v>22</v>
      </c>
      <c r="B136" t="s">
        <v>6</v>
      </c>
      <c r="C136">
        <v>3.23</v>
      </c>
      <c r="D136" s="2">
        <f t="shared" si="14"/>
        <v>3.7783870967741939</v>
      </c>
      <c r="E136">
        <v>0.27419354838709697</v>
      </c>
      <c r="G136">
        <f t="shared" si="9"/>
        <v>3.7783870967741939</v>
      </c>
      <c r="H136">
        <f t="shared" si="10"/>
        <v>3.7783870967741939</v>
      </c>
    </row>
    <row r="137" spans="1:9" x14ac:dyDescent="0.35">
      <c r="A137" s="2" t="s">
        <v>22</v>
      </c>
      <c r="B137" t="s">
        <v>7</v>
      </c>
      <c r="C137">
        <v>3.23</v>
      </c>
      <c r="D137" s="2">
        <f t="shared" si="14"/>
        <v>4.2783870967741935</v>
      </c>
      <c r="E137">
        <v>0.77419354838709697</v>
      </c>
      <c r="F137" s="2">
        <v>3</v>
      </c>
      <c r="G137">
        <f t="shared" si="9"/>
        <v>4.2783870967741935</v>
      </c>
      <c r="H137">
        <f t="shared" si="10"/>
        <v>1.2783870967741935</v>
      </c>
      <c r="I137">
        <f>H137*H137</f>
        <v>1.6342735691987511</v>
      </c>
    </row>
    <row r="138" spans="1:9" x14ac:dyDescent="0.35">
      <c r="A138" s="2" t="s">
        <v>22</v>
      </c>
      <c r="B138" t="s">
        <v>8</v>
      </c>
      <c r="C138">
        <v>3.23</v>
      </c>
      <c r="D138" s="2">
        <f t="shared" si="14"/>
        <v>3.2783870967741939</v>
      </c>
      <c r="E138">
        <v>-0.22580645161290303</v>
      </c>
      <c r="G138">
        <f t="shared" si="9"/>
        <v>3.2783870967741939</v>
      </c>
      <c r="H138">
        <f t="shared" si="10"/>
        <v>3.2783870967741939</v>
      </c>
    </row>
    <row r="139" spans="1:9" x14ac:dyDescent="0.35">
      <c r="A139" s="2" t="s">
        <v>22</v>
      </c>
      <c r="B139" t="s">
        <v>9</v>
      </c>
      <c r="C139">
        <v>3.23</v>
      </c>
      <c r="D139" s="2">
        <f t="shared" si="14"/>
        <v>2.9033870967741939</v>
      </c>
      <c r="E139">
        <v>-0.60080645161290303</v>
      </c>
      <c r="G139">
        <f t="shared" si="9"/>
        <v>2.9033870967741939</v>
      </c>
      <c r="H139">
        <f t="shared" si="10"/>
        <v>2.9033870967741939</v>
      </c>
    </row>
    <row r="140" spans="1:9" x14ac:dyDescent="0.35">
      <c r="A140" s="2" t="s">
        <v>22</v>
      </c>
      <c r="B140" t="s">
        <v>10</v>
      </c>
      <c r="C140">
        <v>3.23</v>
      </c>
      <c r="D140" s="2">
        <f t="shared" si="14"/>
        <v>3.9450537634408605</v>
      </c>
      <c r="E140">
        <v>0.44086021505376349</v>
      </c>
      <c r="F140" s="2"/>
      <c r="G140">
        <f t="shared" si="9"/>
        <v>3.9450537634408605</v>
      </c>
      <c r="H140">
        <f t="shared" si="10"/>
        <v>3.9450537634408605</v>
      </c>
    </row>
    <row r="141" spans="1:9" x14ac:dyDescent="0.35">
      <c r="A141" s="2" t="s">
        <v>22</v>
      </c>
      <c r="B141" t="s">
        <v>11</v>
      </c>
      <c r="C141">
        <v>3.23</v>
      </c>
      <c r="D141" s="2">
        <f t="shared" si="14"/>
        <v>2.9450537634408605</v>
      </c>
      <c r="E141">
        <v>-0.55913978494623651</v>
      </c>
      <c r="G141">
        <f t="shared" si="9"/>
        <v>2.9450537634408605</v>
      </c>
      <c r="H141">
        <f t="shared" si="10"/>
        <v>2.9450537634408605</v>
      </c>
    </row>
    <row r="142" spans="1:9" x14ac:dyDescent="0.35">
      <c r="A142" s="2" t="s">
        <v>23</v>
      </c>
      <c r="B142" t="s">
        <v>0</v>
      </c>
      <c r="C142">
        <v>3.23</v>
      </c>
      <c r="D142" s="2">
        <f>C142+E142+$P$12</f>
        <v>3.9926728110599083</v>
      </c>
      <c r="E142">
        <v>0.48847926267281139</v>
      </c>
      <c r="G142">
        <f t="shared" si="9"/>
        <v>3.9926728110599083</v>
      </c>
      <c r="H142">
        <f t="shared" si="10"/>
        <v>3.9926728110599083</v>
      </c>
    </row>
    <row r="143" spans="1:9" x14ac:dyDescent="0.35">
      <c r="A143" s="2" t="s">
        <v>23</v>
      </c>
      <c r="B143" t="s">
        <v>1</v>
      </c>
      <c r="C143">
        <v>3.23</v>
      </c>
      <c r="D143" s="2">
        <f t="shared" ref="D143:D152" si="15">C143+E143+$P$12</f>
        <v>2.9450537634408605</v>
      </c>
      <c r="E143">
        <v>-0.55913978494623651</v>
      </c>
      <c r="G143">
        <f t="shared" si="9"/>
        <v>2.9450537634408605</v>
      </c>
      <c r="H143">
        <f t="shared" si="10"/>
        <v>2.9450537634408605</v>
      </c>
    </row>
    <row r="144" spans="1:9" x14ac:dyDescent="0.35">
      <c r="A144" s="2" t="s">
        <v>23</v>
      </c>
      <c r="B144" t="s">
        <v>2</v>
      </c>
      <c r="C144">
        <v>3.23</v>
      </c>
      <c r="D144" s="2">
        <f t="shared" si="15"/>
        <v>3.878387096774194</v>
      </c>
      <c r="E144">
        <v>0.37419354838709706</v>
      </c>
      <c r="G144">
        <f t="shared" si="9"/>
        <v>3.878387096774194</v>
      </c>
      <c r="H144">
        <f t="shared" si="10"/>
        <v>3.878387096774194</v>
      </c>
    </row>
    <row r="145" spans="1:8" x14ac:dyDescent="0.35">
      <c r="A145" s="2" t="s">
        <v>23</v>
      </c>
      <c r="B145" t="s">
        <v>3</v>
      </c>
      <c r="C145">
        <v>3.23</v>
      </c>
      <c r="D145" s="2">
        <f t="shared" si="15"/>
        <v>4.2783870967741935</v>
      </c>
      <c r="E145">
        <v>0.77419354838709697</v>
      </c>
      <c r="G145">
        <f t="shared" si="9"/>
        <v>4.2783870967741935</v>
      </c>
      <c r="H145">
        <f t="shared" si="10"/>
        <v>4.2783870967741935</v>
      </c>
    </row>
    <row r="146" spans="1:8" x14ac:dyDescent="0.35">
      <c r="A146" s="2" t="s">
        <v>23</v>
      </c>
      <c r="B146" t="s">
        <v>4</v>
      </c>
      <c r="C146">
        <v>3.23</v>
      </c>
      <c r="D146" s="2">
        <f t="shared" si="15"/>
        <v>3.7783870967741939</v>
      </c>
      <c r="E146">
        <v>0.27419354838709697</v>
      </c>
      <c r="G146">
        <f t="shared" si="9"/>
        <v>3.7783870967741939</v>
      </c>
      <c r="H146">
        <f t="shared" si="10"/>
        <v>3.7783870967741939</v>
      </c>
    </row>
    <row r="147" spans="1:8" x14ac:dyDescent="0.35">
      <c r="A147" s="2" t="s">
        <v>23</v>
      </c>
      <c r="B147" t="s">
        <v>5</v>
      </c>
      <c r="C147">
        <v>3.23</v>
      </c>
      <c r="D147" s="2">
        <f t="shared" si="15"/>
        <v>2.2783870967741939</v>
      </c>
      <c r="E147">
        <v>-1.225806451612903</v>
      </c>
      <c r="G147">
        <f t="shared" si="9"/>
        <v>2.2783870967741939</v>
      </c>
      <c r="H147">
        <f t="shared" si="10"/>
        <v>2.2783870967741939</v>
      </c>
    </row>
    <row r="148" spans="1:8" x14ac:dyDescent="0.35">
      <c r="A148" s="2" t="s">
        <v>23</v>
      </c>
      <c r="B148" t="s">
        <v>6</v>
      </c>
      <c r="C148">
        <v>3.23</v>
      </c>
      <c r="D148" s="2">
        <f t="shared" si="15"/>
        <v>3.7783870967741939</v>
      </c>
      <c r="E148">
        <v>0.27419354838709697</v>
      </c>
      <c r="G148">
        <f t="shared" si="9"/>
        <v>3.7783870967741939</v>
      </c>
      <c r="H148">
        <f t="shared" si="10"/>
        <v>3.7783870967741939</v>
      </c>
    </row>
    <row r="149" spans="1:8" x14ac:dyDescent="0.35">
      <c r="A149" s="2" t="s">
        <v>23</v>
      </c>
      <c r="B149" t="s">
        <v>7</v>
      </c>
      <c r="C149">
        <v>3.23</v>
      </c>
      <c r="D149" s="2">
        <f t="shared" si="15"/>
        <v>4.2783870967741935</v>
      </c>
      <c r="E149">
        <v>0.77419354838709697</v>
      </c>
      <c r="F149" s="2"/>
      <c r="G149">
        <f t="shared" si="9"/>
        <v>4.2783870967741935</v>
      </c>
      <c r="H149">
        <f t="shared" si="10"/>
        <v>4.2783870967741935</v>
      </c>
    </row>
    <row r="150" spans="1:8" x14ac:dyDescent="0.35">
      <c r="A150" s="2" t="s">
        <v>23</v>
      </c>
      <c r="B150" t="s">
        <v>8</v>
      </c>
      <c r="C150">
        <v>3.23</v>
      </c>
      <c r="D150" s="2">
        <f t="shared" si="15"/>
        <v>3.2783870967741939</v>
      </c>
      <c r="E150">
        <v>-0.22580645161290303</v>
      </c>
      <c r="G150">
        <f t="shared" si="9"/>
        <v>3.2783870967741939</v>
      </c>
      <c r="H150">
        <f t="shared" si="10"/>
        <v>3.2783870967741939</v>
      </c>
    </row>
    <row r="151" spans="1:8" x14ac:dyDescent="0.35">
      <c r="A151" s="2" t="s">
        <v>23</v>
      </c>
      <c r="B151" t="s">
        <v>9</v>
      </c>
      <c r="C151">
        <v>3.23</v>
      </c>
      <c r="D151" s="2">
        <f t="shared" si="15"/>
        <v>2.9033870967741939</v>
      </c>
      <c r="E151">
        <v>-0.60080645161290303</v>
      </c>
      <c r="F151" s="2"/>
      <c r="G151">
        <f t="shared" ref="G151:G213" si="16">IF(D151&gt;5,5,D151)</f>
        <v>2.9033870967741939</v>
      </c>
      <c r="H151">
        <f t="shared" ref="H151:H213" si="17">G151-F151</f>
        <v>2.9033870967741939</v>
      </c>
    </row>
    <row r="152" spans="1:8" x14ac:dyDescent="0.35">
      <c r="A152" s="2" t="s">
        <v>23</v>
      </c>
      <c r="B152" t="s">
        <v>10</v>
      </c>
      <c r="C152">
        <v>3.23</v>
      </c>
      <c r="D152" s="2">
        <f t="shared" si="15"/>
        <v>3.9450537634408605</v>
      </c>
      <c r="E152">
        <v>0.44086021505376349</v>
      </c>
      <c r="G152">
        <f t="shared" si="16"/>
        <v>3.9450537634408605</v>
      </c>
      <c r="H152">
        <f t="shared" si="17"/>
        <v>3.9450537634408605</v>
      </c>
    </row>
    <row r="153" spans="1:8" x14ac:dyDescent="0.35">
      <c r="A153" s="2" t="s">
        <v>23</v>
      </c>
      <c r="B153" t="s">
        <v>11</v>
      </c>
      <c r="C153">
        <v>3.23</v>
      </c>
      <c r="D153" s="2">
        <f>C153+E153+$P$12</f>
        <v>2.9450537634408605</v>
      </c>
      <c r="E153">
        <v>-0.55913978494623651</v>
      </c>
      <c r="G153">
        <f t="shared" si="16"/>
        <v>2.9450537634408605</v>
      </c>
      <c r="H153">
        <f t="shared" si="17"/>
        <v>2.9450537634408605</v>
      </c>
    </row>
    <row r="154" spans="1:8" x14ac:dyDescent="0.35">
      <c r="A154" s="2" t="s">
        <v>24</v>
      </c>
      <c r="B154" t="s">
        <v>0</v>
      </c>
      <c r="C154">
        <v>3.23</v>
      </c>
      <c r="D154" s="2">
        <f>C154+E154+$P$13</f>
        <v>4.8926728110599083</v>
      </c>
      <c r="E154">
        <v>0.48847926267281139</v>
      </c>
      <c r="F154" s="2"/>
      <c r="G154">
        <f t="shared" si="16"/>
        <v>4.8926728110599083</v>
      </c>
      <c r="H154">
        <f t="shared" si="17"/>
        <v>4.8926728110599083</v>
      </c>
    </row>
    <row r="155" spans="1:8" x14ac:dyDescent="0.35">
      <c r="A155" s="2" t="s">
        <v>24</v>
      </c>
      <c r="B155" t="s">
        <v>1</v>
      </c>
      <c r="C155">
        <v>3.23</v>
      </c>
      <c r="D155" s="2">
        <f t="shared" ref="D155:D165" si="18">C155+E155+$P$13</f>
        <v>3.8450537634408608</v>
      </c>
      <c r="E155">
        <v>-0.55913978494623651</v>
      </c>
      <c r="F155" s="2"/>
      <c r="G155">
        <f t="shared" si="16"/>
        <v>3.8450537634408608</v>
      </c>
      <c r="H155">
        <f t="shared" si="17"/>
        <v>3.8450537634408608</v>
      </c>
    </row>
    <row r="156" spans="1:8" x14ac:dyDescent="0.35">
      <c r="A156" s="2" t="s">
        <v>24</v>
      </c>
      <c r="B156" t="s">
        <v>2</v>
      </c>
      <c r="C156">
        <v>3.23</v>
      </c>
      <c r="D156" s="2">
        <f t="shared" si="18"/>
        <v>4.7783870967741944</v>
      </c>
      <c r="E156">
        <v>0.37419354838709706</v>
      </c>
      <c r="G156">
        <f t="shared" si="16"/>
        <v>4.7783870967741944</v>
      </c>
      <c r="H156">
        <f t="shared" si="17"/>
        <v>4.7783870967741944</v>
      </c>
    </row>
    <row r="157" spans="1:8" x14ac:dyDescent="0.35">
      <c r="A157" s="2" t="s">
        <v>24</v>
      </c>
      <c r="B157" t="s">
        <v>3</v>
      </c>
      <c r="C157">
        <v>3.23</v>
      </c>
      <c r="D157" s="2">
        <f t="shared" si="18"/>
        <v>5.1783870967741938</v>
      </c>
      <c r="E157">
        <v>0.77419354838709697</v>
      </c>
      <c r="F157" s="2"/>
      <c r="G157">
        <f t="shared" si="16"/>
        <v>5</v>
      </c>
      <c r="H157">
        <f t="shared" si="17"/>
        <v>5</v>
      </c>
    </row>
    <row r="158" spans="1:8" x14ac:dyDescent="0.35">
      <c r="A158" s="2" t="s">
        <v>24</v>
      </c>
      <c r="B158" t="s">
        <v>4</v>
      </c>
      <c r="C158">
        <v>3.23</v>
      </c>
      <c r="D158" s="2">
        <f t="shared" si="18"/>
        <v>4.6783870967741947</v>
      </c>
      <c r="E158">
        <v>0.27419354838709697</v>
      </c>
      <c r="G158">
        <f t="shared" si="16"/>
        <v>4.6783870967741947</v>
      </c>
      <c r="H158">
        <f t="shared" si="17"/>
        <v>4.6783870967741947</v>
      </c>
    </row>
    <row r="159" spans="1:8" x14ac:dyDescent="0.35">
      <c r="A159" s="2" t="s">
        <v>24</v>
      </c>
      <c r="B159" t="s">
        <v>5</v>
      </c>
      <c r="C159">
        <v>3.23</v>
      </c>
      <c r="D159" s="2">
        <f t="shared" si="18"/>
        <v>3.1783870967741943</v>
      </c>
      <c r="E159">
        <v>-1.225806451612903</v>
      </c>
      <c r="G159">
        <f t="shared" si="16"/>
        <v>3.1783870967741943</v>
      </c>
      <c r="H159">
        <f t="shared" si="17"/>
        <v>3.1783870967741943</v>
      </c>
    </row>
    <row r="160" spans="1:8" x14ac:dyDescent="0.35">
      <c r="A160" s="2" t="s">
        <v>24</v>
      </c>
      <c r="B160" t="s">
        <v>6</v>
      </c>
      <c r="C160">
        <v>3.23</v>
      </c>
      <c r="D160" s="2">
        <f t="shared" si="18"/>
        <v>4.6783870967741947</v>
      </c>
      <c r="E160">
        <v>0.27419354838709697</v>
      </c>
      <c r="F160" s="2"/>
      <c r="G160">
        <f t="shared" si="16"/>
        <v>4.6783870967741947</v>
      </c>
      <c r="H160">
        <f t="shared" si="17"/>
        <v>4.6783870967741947</v>
      </c>
    </row>
    <row r="161" spans="1:9" x14ac:dyDescent="0.35">
      <c r="A161" s="2" t="s">
        <v>24</v>
      </c>
      <c r="B161" t="s">
        <v>7</v>
      </c>
      <c r="C161">
        <v>3.23</v>
      </c>
      <c r="D161" s="2">
        <f t="shared" si="18"/>
        <v>5.1783870967741938</v>
      </c>
      <c r="E161">
        <v>0.77419354838709697</v>
      </c>
      <c r="G161">
        <f t="shared" si="16"/>
        <v>5</v>
      </c>
      <c r="H161">
        <f t="shared" si="17"/>
        <v>5</v>
      </c>
    </row>
    <row r="162" spans="1:9" x14ac:dyDescent="0.35">
      <c r="A162" s="2" t="s">
        <v>24</v>
      </c>
      <c r="B162" t="s">
        <v>8</v>
      </c>
      <c r="C162">
        <v>3.23</v>
      </c>
      <c r="D162" s="2">
        <f t="shared" si="18"/>
        <v>4.1783870967741947</v>
      </c>
      <c r="E162">
        <v>-0.22580645161290303</v>
      </c>
      <c r="G162">
        <f t="shared" si="16"/>
        <v>4.1783870967741947</v>
      </c>
      <c r="H162">
        <f t="shared" si="17"/>
        <v>4.1783870967741947</v>
      </c>
    </row>
    <row r="163" spans="1:9" x14ac:dyDescent="0.35">
      <c r="A163" s="2" t="s">
        <v>24</v>
      </c>
      <c r="B163" t="s">
        <v>9</v>
      </c>
      <c r="C163">
        <v>3.23</v>
      </c>
      <c r="D163" s="2">
        <f t="shared" si="18"/>
        <v>3.8033870967741943</v>
      </c>
      <c r="E163">
        <v>-0.60080645161290303</v>
      </c>
      <c r="F163" s="2"/>
      <c r="G163">
        <f t="shared" si="16"/>
        <v>3.8033870967741943</v>
      </c>
      <c r="H163">
        <f t="shared" si="17"/>
        <v>3.8033870967741943</v>
      </c>
    </row>
    <row r="164" spans="1:9" x14ac:dyDescent="0.35">
      <c r="A164" s="2" t="s">
        <v>24</v>
      </c>
      <c r="B164" t="s">
        <v>10</v>
      </c>
      <c r="C164">
        <v>3.23</v>
      </c>
      <c r="D164" s="2">
        <f t="shared" si="18"/>
        <v>4.8450537634408608</v>
      </c>
      <c r="E164">
        <v>0.44086021505376349</v>
      </c>
      <c r="G164">
        <f t="shared" si="16"/>
        <v>4.8450537634408608</v>
      </c>
      <c r="H164">
        <f t="shared" si="17"/>
        <v>4.8450537634408608</v>
      </c>
    </row>
    <row r="165" spans="1:9" x14ac:dyDescent="0.35">
      <c r="A165" s="2" t="s">
        <v>24</v>
      </c>
      <c r="B165" t="s">
        <v>11</v>
      </c>
      <c r="C165">
        <v>3.23</v>
      </c>
      <c r="D165" s="2">
        <f t="shared" si="18"/>
        <v>3.8450537634408608</v>
      </c>
      <c r="E165">
        <v>-0.55913978494623651</v>
      </c>
      <c r="G165">
        <f t="shared" si="16"/>
        <v>3.8450537634408608</v>
      </c>
      <c r="H165">
        <f t="shared" si="17"/>
        <v>3.8450537634408608</v>
      </c>
    </row>
    <row r="166" spans="1:9" x14ac:dyDescent="0.35">
      <c r="A166" s="2" t="s">
        <v>25</v>
      </c>
      <c r="B166" t="s">
        <v>0</v>
      </c>
      <c r="C166">
        <v>3.23</v>
      </c>
      <c r="D166" s="2">
        <f>C166+E166+$P$14</f>
        <v>4.4926728110599079</v>
      </c>
      <c r="E166">
        <v>0.48847926267281139</v>
      </c>
      <c r="G166">
        <f t="shared" si="16"/>
        <v>4.4926728110599079</v>
      </c>
      <c r="H166">
        <f t="shared" si="17"/>
        <v>4.4926728110599079</v>
      </c>
    </row>
    <row r="167" spans="1:9" x14ac:dyDescent="0.35">
      <c r="A167" s="2" t="s">
        <v>25</v>
      </c>
      <c r="B167" t="s">
        <v>1</v>
      </c>
      <c r="C167">
        <v>3.23</v>
      </c>
      <c r="D167" s="2">
        <f t="shared" ref="D167:D177" si="19">C167+E167+$P$14</f>
        <v>3.4450537634408605</v>
      </c>
      <c r="E167">
        <v>-0.55913978494623651</v>
      </c>
      <c r="G167">
        <f t="shared" si="16"/>
        <v>3.4450537634408605</v>
      </c>
      <c r="H167">
        <f t="shared" si="17"/>
        <v>3.4450537634408605</v>
      </c>
    </row>
    <row r="168" spans="1:9" x14ac:dyDescent="0.35">
      <c r="A168" s="2" t="s">
        <v>25</v>
      </c>
      <c r="B168" t="s">
        <v>2</v>
      </c>
      <c r="C168">
        <v>3.23</v>
      </c>
      <c r="D168" s="2">
        <f t="shared" si="19"/>
        <v>4.378387096774194</v>
      </c>
      <c r="E168">
        <v>0.37419354838709706</v>
      </c>
      <c r="G168">
        <f t="shared" si="16"/>
        <v>4.378387096774194</v>
      </c>
      <c r="H168">
        <f t="shared" si="17"/>
        <v>4.378387096774194</v>
      </c>
    </row>
    <row r="169" spans="1:9" x14ac:dyDescent="0.35">
      <c r="A169" s="2" t="s">
        <v>25</v>
      </c>
      <c r="B169" t="s">
        <v>3</v>
      </c>
      <c r="C169">
        <v>3.23</v>
      </c>
      <c r="D169" s="2">
        <f t="shared" si="19"/>
        <v>4.7783870967741935</v>
      </c>
      <c r="E169">
        <v>0.77419354838709697</v>
      </c>
      <c r="G169">
        <f t="shared" si="16"/>
        <v>4.7783870967741935</v>
      </c>
      <c r="H169">
        <f t="shared" si="17"/>
        <v>4.7783870967741935</v>
      </c>
    </row>
    <row r="170" spans="1:9" x14ac:dyDescent="0.35">
      <c r="A170" s="2" t="s">
        <v>25</v>
      </c>
      <c r="B170" t="s">
        <v>4</v>
      </c>
      <c r="C170">
        <v>3.23</v>
      </c>
      <c r="D170" s="2">
        <f t="shared" si="19"/>
        <v>4.2783870967741944</v>
      </c>
      <c r="E170">
        <v>0.27419354838709697</v>
      </c>
      <c r="F170" s="2">
        <v>5</v>
      </c>
      <c r="G170">
        <f t="shared" si="16"/>
        <v>4.2783870967741944</v>
      </c>
      <c r="H170">
        <f t="shared" si="17"/>
        <v>-0.72161290322580562</v>
      </c>
      <c r="I170">
        <f>H170*H170</f>
        <v>0.52072518210197594</v>
      </c>
    </row>
    <row r="171" spans="1:9" x14ac:dyDescent="0.35">
      <c r="A171" s="2" t="s">
        <v>25</v>
      </c>
      <c r="B171" t="s">
        <v>5</v>
      </c>
      <c r="C171">
        <v>3.23</v>
      </c>
      <c r="D171" s="2">
        <f t="shared" si="19"/>
        <v>2.7783870967741939</v>
      </c>
      <c r="E171">
        <v>-1.225806451612903</v>
      </c>
      <c r="G171">
        <f t="shared" si="16"/>
        <v>2.7783870967741939</v>
      </c>
      <c r="H171">
        <f t="shared" si="17"/>
        <v>2.7783870967741939</v>
      </c>
    </row>
    <row r="172" spans="1:9" x14ac:dyDescent="0.35">
      <c r="A172" s="2" t="s">
        <v>25</v>
      </c>
      <c r="B172" t="s">
        <v>6</v>
      </c>
      <c r="C172">
        <v>3.23</v>
      </c>
      <c r="D172" s="2">
        <f t="shared" si="19"/>
        <v>4.2783870967741944</v>
      </c>
      <c r="E172">
        <v>0.27419354838709697</v>
      </c>
      <c r="G172">
        <f t="shared" si="16"/>
        <v>4.2783870967741944</v>
      </c>
      <c r="H172">
        <f t="shared" si="17"/>
        <v>4.2783870967741944</v>
      </c>
    </row>
    <row r="173" spans="1:9" x14ac:dyDescent="0.35">
      <c r="A173" s="2" t="s">
        <v>25</v>
      </c>
      <c r="B173" t="s">
        <v>7</v>
      </c>
      <c r="C173">
        <v>3.23</v>
      </c>
      <c r="D173" s="2">
        <f t="shared" si="19"/>
        <v>4.7783870967741935</v>
      </c>
      <c r="E173">
        <v>0.77419354838709697</v>
      </c>
      <c r="G173">
        <f t="shared" si="16"/>
        <v>4.7783870967741935</v>
      </c>
      <c r="H173">
        <f t="shared" si="17"/>
        <v>4.7783870967741935</v>
      </c>
    </row>
    <row r="174" spans="1:9" x14ac:dyDescent="0.35">
      <c r="A174" s="2" t="s">
        <v>25</v>
      </c>
      <c r="B174" t="s">
        <v>8</v>
      </c>
      <c r="C174">
        <v>3.23</v>
      </c>
      <c r="D174" s="2">
        <f t="shared" si="19"/>
        <v>3.7783870967741939</v>
      </c>
      <c r="E174">
        <v>-0.22580645161290303</v>
      </c>
      <c r="G174">
        <f t="shared" si="16"/>
        <v>3.7783870967741939</v>
      </c>
      <c r="H174">
        <f t="shared" si="17"/>
        <v>3.7783870967741939</v>
      </c>
    </row>
    <row r="175" spans="1:9" x14ac:dyDescent="0.35">
      <c r="A175" s="2" t="s">
        <v>25</v>
      </c>
      <c r="B175" t="s">
        <v>9</v>
      </c>
      <c r="C175">
        <v>3.23</v>
      </c>
      <c r="D175" s="2">
        <f t="shared" si="19"/>
        <v>3.4033870967741939</v>
      </c>
      <c r="E175">
        <v>-0.60080645161290303</v>
      </c>
      <c r="G175">
        <f t="shared" si="16"/>
        <v>3.4033870967741939</v>
      </c>
      <c r="H175">
        <f t="shared" si="17"/>
        <v>3.4033870967741939</v>
      </c>
    </row>
    <row r="176" spans="1:9" x14ac:dyDescent="0.35">
      <c r="A176" s="2" t="s">
        <v>25</v>
      </c>
      <c r="B176" t="s">
        <v>10</v>
      </c>
      <c r="C176">
        <v>3.23</v>
      </c>
      <c r="D176" s="2">
        <f t="shared" si="19"/>
        <v>4.4450537634408605</v>
      </c>
      <c r="E176">
        <v>0.44086021505376349</v>
      </c>
      <c r="G176">
        <f t="shared" si="16"/>
        <v>4.4450537634408605</v>
      </c>
      <c r="H176">
        <f t="shared" si="17"/>
        <v>4.4450537634408605</v>
      </c>
    </row>
    <row r="177" spans="1:9" x14ac:dyDescent="0.35">
      <c r="A177" s="2" t="s">
        <v>25</v>
      </c>
      <c r="B177" t="s">
        <v>11</v>
      </c>
      <c r="C177">
        <v>3.23</v>
      </c>
      <c r="D177" s="2">
        <f t="shared" si="19"/>
        <v>3.4450537634408605</v>
      </c>
      <c r="E177">
        <v>-0.55913978494623651</v>
      </c>
      <c r="F177" s="2">
        <v>4</v>
      </c>
      <c r="G177">
        <f t="shared" si="16"/>
        <v>3.4450537634408605</v>
      </c>
      <c r="H177">
        <f t="shared" si="17"/>
        <v>-0.55494623655913955</v>
      </c>
      <c r="I177">
        <f>H177*H177</f>
        <v>0.30796532547115246</v>
      </c>
    </row>
    <row r="178" spans="1:9" x14ac:dyDescent="0.35">
      <c r="A178" s="2" t="s">
        <v>26</v>
      </c>
      <c r="B178" t="s">
        <v>0</v>
      </c>
      <c r="C178">
        <v>3.23</v>
      </c>
      <c r="D178" s="2">
        <f>C178+E178+$P$15</f>
        <v>3.7426728110599083</v>
      </c>
      <c r="E178">
        <v>0.48847926267281139</v>
      </c>
      <c r="G178">
        <f t="shared" si="16"/>
        <v>3.7426728110599083</v>
      </c>
      <c r="H178">
        <f t="shared" si="17"/>
        <v>3.7426728110599083</v>
      </c>
    </row>
    <row r="179" spans="1:9" x14ac:dyDescent="0.35">
      <c r="A179" s="2" t="s">
        <v>26</v>
      </c>
      <c r="B179" t="s">
        <v>1</v>
      </c>
      <c r="C179">
        <v>3.23</v>
      </c>
      <c r="D179" s="2">
        <f t="shared" ref="D179:D189" si="20">C179+E179+$P$15</f>
        <v>2.6950537634408605</v>
      </c>
      <c r="E179">
        <v>-0.55913978494623651</v>
      </c>
      <c r="G179">
        <f t="shared" si="16"/>
        <v>2.6950537634408605</v>
      </c>
      <c r="H179">
        <f t="shared" si="17"/>
        <v>2.6950537634408605</v>
      </c>
    </row>
    <row r="180" spans="1:9" x14ac:dyDescent="0.35">
      <c r="A180" s="2" t="s">
        <v>26</v>
      </c>
      <c r="B180" t="s">
        <v>2</v>
      </c>
      <c r="C180">
        <v>3.23</v>
      </c>
      <c r="D180" s="2">
        <f t="shared" si="20"/>
        <v>3.628387096774194</v>
      </c>
      <c r="E180">
        <v>0.37419354838709706</v>
      </c>
      <c r="G180">
        <f t="shared" si="16"/>
        <v>3.628387096774194</v>
      </c>
      <c r="H180">
        <f t="shared" si="17"/>
        <v>3.628387096774194</v>
      </c>
    </row>
    <row r="181" spans="1:9" x14ac:dyDescent="0.35">
      <c r="A181" s="2" t="s">
        <v>26</v>
      </c>
      <c r="B181" t="s">
        <v>3</v>
      </c>
      <c r="C181">
        <v>3.23</v>
      </c>
      <c r="D181" s="2">
        <f t="shared" si="20"/>
        <v>4.0283870967741935</v>
      </c>
      <c r="E181">
        <v>0.77419354838709697</v>
      </c>
      <c r="G181">
        <f t="shared" si="16"/>
        <v>4.0283870967741935</v>
      </c>
      <c r="H181">
        <f t="shared" si="17"/>
        <v>4.0283870967741935</v>
      </c>
    </row>
    <row r="182" spans="1:9" x14ac:dyDescent="0.35">
      <c r="A182" s="2" t="s">
        <v>26</v>
      </c>
      <c r="B182" t="s">
        <v>4</v>
      </c>
      <c r="C182">
        <v>3.23</v>
      </c>
      <c r="D182" s="2">
        <f t="shared" si="20"/>
        <v>3.5283870967741939</v>
      </c>
      <c r="E182">
        <v>0.27419354838709697</v>
      </c>
      <c r="G182">
        <f t="shared" si="16"/>
        <v>3.5283870967741939</v>
      </c>
      <c r="H182">
        <f t="shared" si="17"/>
        <v>3.5283870967741939</v>
      </c>
    </row>
    <row r="183" spans="1:9" x14ac:dyDescent="0.35">
      <c r="A183" s="2" t="s">
        <v>26</v>
      </c>
      <c r="B183" t="s">
        <v>5</v>
      </c>
      <c r="C183">
        <v>3.23</v>
      </c>
      <c r="D183" s="2">
        <f t="shared" si="20"/>
        <v>2.0283870967741939</v>
      </c>
      <c r="E183">
        <v>-1.225806451612903</v>
      </c>
      <c r="G183">
        <f t="shared" si="16"/>
        <v>2.0283870967741939</v>
      </c>
      <c r="H183">
        <f t="shared" si="17"/>
        <v>2.0283870967741939</v>
      </c>
    </row>
    <row r="184" spans="1:9" x14ac:dyDescent="0.35">
      <c r="A184" s="2" t="s">
        <v>26</v>
      </c>
      <c r="B184" t="s">
        <v>6</v>
      </c>
      <c r="C184">
        <v>3.23</v>
      </c>
      <c r="D184" s="2">
        <f t="shared" si="20"/>
        <v>3.5283870967741939</v>
      </c>
      <c r="E184">
        <v>0.27419354838709697</v>
      </c>
      <c r="G184">
        <f t="shared" si="16"/>
        <v>3.5283870967741939</v>
      </c>
      <c r="H184">
        <f t="shared" si="17"/>
        <v>3.5283870967741939</v>
      </c>
    </row>
    <row r="185" spans="1:9" x14ac:dyDescent="0.35">
      <c r="A185" s="2" t="s">
        <v>26</v>
      </c>
      <c r="B185" t="s">
        <v>7</v>
      </c>
      <c r="C185">
        <v>3.23</v>
      </c>
      <c r="D185" s="2">
        <f t="shared" si="20"/>
        <v>4.0283870967741935</v>
      </c>
      <c r="E185">
        <v>0.77419354838709697</v>
      </c>
      <c r="F185" s="2">
        <v>2</v>
      </c>
      <c r="G185">
        <f t="shared" si="16"/>
        <v>4.0283870967741935</v>
      </c>
      <c r="H185">
        <f t="shared" si="17"/>
        <v>2.0283870967741935</v>
      </c>
      <c r="I185">
        <f>H185*H185</f>
        <v>4.1143542143600413</v>
      </c>
    </row>
    <row r="186" spans="1:9" x14ac:dyDescent="0.35">
      <c r="A186" s="2" t="s">
        <v>26</v>
      </c>
      <c r="B186" t="s">
        <v>8</v>
      </c>
      <c r="C186">
        <v>3.23</v>
      </c>
      <c r="D186" s="2">
        <f t="shared" si="20"/>
        <v>3.0283870967741939</v>
      </c>
      <c r="E186">
        <v>-0.22580645161290303</v>
      </c>
      <c r="G186">
        <f t="shared" si="16"/>
        <v>3.0283870967741939</v>
      </c>
      <c r="H186">
        <f t="shared" si="17"/>
        <v>3.0283870967741939</v>
      </c>
    </row>
    <row r="187" spans="1:9" x14ac:dyDescent="0.35">
      <c r="A187" s="2" t="s">
        <v>26</v>
      </c>
      <c r="B187" t="s">
        <v>9</v>
      </c>
      <c r="C187">
        <v>3.23</v>
      </c>
      <c r="D187" s="2">
        <f t="shared" si="20"/>
        <v>2.6533870967741939</v>
      </c>
      <c r="E187">
        <v>-0.60080645161290303</v>
      </c>
      <c r="F187" s="2"/>
      <c r="G187">
        <f t="shared" si="16"/>
        <v>2.6533870967741939</v>
      </c>
      <c r="H187">
        <f t="shared" si="17"/>
        <v>2.6533870967741939</v>
      </c>
    </row>
    <row r="188" spans="1:9" x14ac:dyDescent="0.35">
      <c r="A188" s="2" t="s">
        <v>26</v>
      </c>
      <c r="B188" t="s">
        <v>10</v>
      </c>
      <c r="C188">
        <v>3.23</v>
      </c>
      <c r="D188" s="2">
        <f t="shared" si="20"/>
        <v>3.6950537634408605</v>
      </c>
      <c r="E188">
        <v>0.44086021505376349</v>
      </c>
      <c r="G188">
        <f t="shared" si="16"/>
        <v>3.6950537634408605</v>
      </c>
      <c r="H188">
        <f t="shared" si="17"/>
        <v>3.6950537634408605</v>
      </c>
    </row>
    <row r="189" spans="1:9" x14ac:dyDescent="0.35">
      <c r="A189" s="2" t="s">
        <v>26</v>
      </c>
      <c r="B189" t="s">
        <v>11</v>
      </c>
      <c r="C189">
        <v>3.23</v>
      </c>
      <c r="D189" s="2">
        <f t="shared" si="20"/>
        <v>2.6950537634408605</v>
      </c>
      <c r="E189">
        <v>-0.55913978494623651</v>
      </c>
      <c r="G189">
        <f t="shared" si="16"/>
        <v>2.6950537634408605</v>
      </c>
      <c r="H189">
        <f t="shared" si="17"/>
        <v>2.6950537634408605</v>
      </c>
    </row>
    <row r="190" spans="1:9" x14ac:dyDescent="0.35">
      <c r="A190" s="2" t="s">
        <v>27</v>
      </c>
      <c r="B190" t="s">
        <v>0</v>
      </c>
      <c r="C190">
        <v>3.23</v>
      </c>
      <c r="D190" s="2">
        <f>C190+E190+$P$16</f>
        <v>4.8260061443932418</v>
      </c>
      <c r="E190">
        <v>0.48847926267281139</v>
      </c>
      <c r="G190">
        <f t="shared" si="16"/>
        <v>4.8260061443932418</v>
      </c>
      <c r="H190">
        <f t="shared" si="17"/>
        <v>4.8260061443932418</v>
      </c>
    </row>
    <row r="191" spans="1:9" x14ac:dyDescent="0.35">
      <c r="A191" s="2" t="s">
        <v>27</v>
      </c>
      <c r="B191" t="s">
        <v>1</v>
      </c>
      <c r="C191">
        <v>3.23</v>
      </c>
      <c r="D191" s="2">
        <f t="shared" ref="D191:D213" si="21">C191+E191+$P$16</f>
        <v>3.7783870967741935</v>
      </c>
      <c r="E191">
        <v>-0.55913978494623651</v>
      </c>
      <c r="F191" s="2"/>
      <c r="G191">
        <f t="shared" si="16"/>
        <v>3.7783870967741935</v>
      </c>
      <c r="H191">
        <f t="shared" si="17"/>
        <v>3.7783870967741935</v>
      </c>
    </row>
    <row r="192" spans="1:9" x14ac:dyDescent="0.35">
      <c r="A192" s="2" t="s">
        <v>27</v>
      </c>
      <c r="B192" t="s">
        <v>2</v>
      </c>
      <c r="C192">
        <v>3.23</v>
      </c>
      <c r="D192" s="2">
        <f t="shared" si="21"/>
        <v>4.7117204301075271</v>
      </c>
      <c r="E192">
        <v>0.37419354838709706</v>
      </c>
      <c r="G192">
        <f t="shared" si="16"/>
        <v>4.7117204301075271</v>
      </c>
      <c r="H192">
        <f t="shared" si="17"/>
        <v>4.7117204301075271</v>
      </c>
    </row>
    <row r="193" spans="1:8" x14ac:dyDescent="0.35">
      <c r="A193" s="2" t="s">
        <v>27</v>
      </c>
      <c r="B193" t="s">
        <v>3</v>
      </c>
      <c r="C193">
        <v>3.23</v>
      </c>
      <c r="D193" s="2">
        <f t="shared" si="21"/>
        <v>5.1117204301075265</v>
      </c>
      <c r="E193">
        <v>0.77419354838709697</v>
      </c>
      <c r="F193" s="2"/>
      <c r="G193">
        <f t="shared" si="16"/>
        <v>5</v>
      </c>
      <c r="H193">
        <f t="shared" si="17"/>
        <v>5</v>
      </c>
    </row>
    <row r="194" spans="1:8" x14ac:dyDescent="0.35">
      <c r="A194" s="2" t="s">
        <v>27</v>
      </c>
      <c r="B194" t="s">
        <v>4</v>
      </c>
      <c r="C194">
        <v>3.23</v>
      </c>
      <c r="D194" s="2">
        <f t="shared" si="21"/>
        <v>4.6117204301075265</v>
      </c>
      <c r="E194">
        <v>0.27419354838709697</v>
      </c>
      <c r="G194">
        <f t="shared" si="16"/>
        <v>4.6117204301075265</v>
      </c>
      <c r="H194">
        <f t="shared" si="17"/>
        <v>4.6117204301075265</v>
      </c>
    </row>
    <row r="195" spans="1:8" x14ac:dyDescent="0.35">
      <c r="A195" s="2" t="s">
        <v>27</v>
      </c>
      <c r="B195" t="s">
        <v>5</v>
      </c>
      <c r="C195">
        <v>3.23</v>
      </c>
      <c r="D195" s="2">
        <f t="shared" si="21"/>
        <v>3.111720430107527</v>
      </c>
      <c r="E195">
        <v>-1.225806451612903</v>
      </c>
      <c r="G195">
        <f t="shared" si="16"/>
        <v>3.111720430107527</v>
      </c>
      <c r="H195">
        <f t="shared" si="17"/>
        <v>3.111720430107527</v>
      </c>
    </row>
    <row r="196" spans="1:8" x14ac:dyDescent="0.35">
      <c r="A196" s="2" t="s">
        <v>27</v>
      </c>
      <c r="B196" t="s">
        <v>6</v>
      </c>
      <c r="C196">
        <v>3.23</v>
      </c>
      <c r="D196" s="2">
        <f t="shared" si="21"/>
        <v>4.6117204301075265</v>
      </c>
      <c r="E196">
        <v>0.27419354838709697</v>
      </c>
      <c r="G196">
        <f t="shared" si="16"/>
        <v>4.6117204301075265</v>
      </c>
      <c r="H196">
        <f t="shared" si="17"/>
        <v>4.6117204301075265</v>
      </c>
    </row>
    <row r="197" spans="1:8" x14ac:dyDescent="0.35">
      <c r="A197" s="2" t="s">
        <v>27</v>
      </c>
      <c r="B197" t="s">
        <v>7</v>
      </c>
      <c r="C197">
        <v>3.23</v>
      </c>
      <c r="D197" s="2">
        <f t="shared" si="21"/>
        <v>5.1117204301075265</v>
      </c>
      <c r="E197">
        <v>0.77419354838709697</v>
      </c>
      <c r="G197">
        <f t="shared" si="16"/>
        <v>5</v>
      </c>
      <c r="H197">
        <f t="shared" si="17"/>
        <v>5</v>
      </c>
    </row>
    <row r="198" spans="1:8" x14ac:dyDescent="0.35">
      <c r="A198" s="2" t="s">
        <v>27</v>
      </c>
      <c r="B198" t="s">
        <v>8</v>
      </c>
      <c r="C198">
        <v>3.23</v>
      </c>
      <c r="D198" s="2">
        <f t="shared" si="21"/>
        <v>4.1117204301075265</v>
      </c>
      <c r="E198">
        <v>-0.22580645161290303</v>
      </c>
      <c r="F198" s="2"/>
      <c r="G198">
        <f t="shared" si="16"/>
        <v>4.1117204301075265</v>
      </c>
      <c r="H198">
        <f t="shared" si="17"/>
        <v>4.1117204301075265</v>
      </c>
    </row>
    <row r="199" spans="1:8" x14ac:dyDescent="0.35">
      <c r="A199" s="2" t="s">
        <v>27</v>
      </c>
      <c r="B199" t="s">
        <v>9</v>
      </c>
      <c r="C199">
        <v>3.23</v>
      </c>
      <c r="D199" s="2">
        <f t="shared" si="21"/>
        <v>3.736720430107527</v>
      </c>
      <c r="E199">
        <v>-0.60080645161290303</v>
      </c>
      <c r="G199">
        <f t="shared" si="16"/>
        <v>3.736720430107527</v>
      </c>
      <c r="H199">
        <f t="shared" si="17"/>
        <v>3.736720430107527</v>
      </c>
    </row>
    <row r="200" spans="1:8" x14ac:dyDescent="0.35">
      <c r="A200" s="2" t="s">
        <v>27</v>
      </c>
      <c r="B200" t="s">
        <v>10</v>
      </c>
      <c r="C200">
        <v>3.23</v>
      </c>
      <c r="D200" s="2">
        <f t="shared" si="21"/>
        <v>4.7783870967741935</v>
      </c>
      <c r="E200">
        <v>0.44086021505376349</v>
      </c>
      <c r="G200">
        <f t="shared" si="16"/>
        <v>4.7783870967741935</v>
      </c>
      <c r="H200">
        <f t="shared" si="17"/>
        <v>4.7783870967741935</v>
      </c>
    </row>
    <row r="201" spans="1:8" x14ac:dyDescent="0.35">
      <c r="A201" s="2" t="s">
        <v>27</v>
      </c>
      <c r="B201" t="s">
        <v>11</v>
      </c>
      <c r="C201">
        <v>3.23</v>
      </c>
      <c r="D201" s="2">
        <f t="shared" si="21"/>
        <v>3.7783870967741935</v>
      </c>
      <c r="E201">
        <v>-0.55913978494623651</v>
      </c>
      <c r="G201">
        <f t="shared" si="16"/>
        <v>3.7783870967741935</v>
      </c>
      <c r="H201">
        <f t="shared" si="17"/>
        <v>3.7783870967741935</v>
      </c>
    </row>
    <row r="202" spans="1:8" x14ac:dyDescent="0.35">
      <c r="A202" s="2" t="s">
        <v>28</v>
      </c>
      <c r="B202" t="s">
        <v>0</v>
      </c>
      <c r="C202">
        <v>3.23</v>
      </c>
      <c r="D202" s="2">
        <f t="shared" si="21"/>
        <v>4.8260061443932418</v>
      </c>
      <c r="E202">
        <v>0.48847926267281139</v>
      </c>
      <c r="G202">
        <f t="shared" si="16"/>
        <v>4.8260061443932418</v>
      </c>
      <c r="H202">
        <f t="shared" si="17"/>
        <v>4.8260061443932418</v>
      </c>
    </row>
    <row r="203" spans="1:8" x14ac:dyDescent="0.35">
      <c r="A203" s="2" t="s">
        <v>28</v>
      </c>
      <c r="B203" t="s">
        <v>1</v>
      </c>
      <c r="C203">
        <v>3.23</v>
      </c>
      <c r="D203" s="2">
        <f t="shared" si="21"/>
        <v>3.7783870967741935</v>
      </c>
      <c r="E203">
        <v>-0.55913978494623651</v>
      </c>
      <c r="F203" s="2"/>
      <c r="G203">
        <f t="shared" si="16"/>
        <v>3.7783870967741935</v>
      </c>
      <c r="H203">
        <f t="shared" si="17"/>
        <v>3.7783870967741935</v>
      </c>
    </row>
    <row r="204" spans="1:8" x14ac:dyDescent="0.35">
      <c r="A204" s="2" t="s">
        <v>28</v>
      </c>
      <c r="B204" t="s">
        <v>2</v>
      </c>
      <c r="C204">
        <v>3.23</v>
      </c>
      <c r="D204" s="2">
        <f t="shared" si="21"/>
        <v>4.7117204301075271</v>
      </c>
      <c r="E204">
        <v>0.37419354838709706</v>
      </c>
      <c r="G204">
        <f t="shared" si="16"/>
        <v>4.7117204301075271</v>
      </c>
      <c r="H204">
        <f t="shared" si="17"/>
        <v>4.7117204301075271</v>
      </c>
    </row>
    <row r="205" spans="1:8" x14ac:dyDescent="0.35">
      <c r="A205" s="2" t="s">
        <v>28</v>
      </c>
      <c r="B205" t="s">
        <v>3</v>
      </c>
      <c r="C205">
        <v>3.23</v>
      </c>
      <c r="D205" s="2">
        <f t="shared" si="21"/>
        <v>5.1117204301075265</v>
      </c>
      <c r="E205">
        <v>0.77419354838709697</v>
      </c>
      <c r="G205">
        <f t="shared" si="16"/>
        <v>5</v>
      </c>
      <c r="H205">
        <f t="shared" si="17"/>
        <v>5</v>
      </c>
    </row>
    <row r="206" spans="1:8" x14ac:dyDescent="0.35">
      <c r="A206" s="2" t="s">
        <v>28</v>
      </c>
      <c r="B206" t="s">
        <v>4</v>
      </c>
      <c r="C206">
        <v>3.23</v>
      </c>
      <c r="D206" s="2">
        <f t="shared" si="21"/>
        <v>4.6117204301075265</v>
      </c>
      <c r="E206">
        <v>0.27419354838709697</v>
      </c>
      <c r="F206" s="2"/>
      <c r="G206">
        <f t="shared" si="16"/>
        <v>4.6117204301075265</v>
      </c>
      <c r="H206">
        <f t="shared" si="17"/>
        <v>4.6117204301075265</v>
      </c>
    </row>
    <row r="207" spans="1:8" x14ac:dyDescent="0.35">
      <c r="A207" s="2" t="s">
        <v>28</v>
      </c>
      <c r="B207" t="s">
        <v>5</v>
      </c>
      <c r="C207">
        <v>3.23</v>
      </c>
      <c r="D207" s="2">
        <f t="shared" si="21"/>
        <v>3.111720430107527</v>
      </c>
      <c r="E207">
        <v>-1.225806451612903</v>
      </c>
      <c r="G207">
        <f t="shared" si="16"/>
        <v>3.111720430107527</v>
      </c>
      <c r="H207">
        <f t="shared" si="17"/>
        <v>3.111720430107527</v>
      </c>
    </row>
    <row r="208" spans="1:8" x14ac:dyDescent="0.35">
      <c r="A208" s="2" t="s">
        <v>28</v>
      </c>
      <c r="B208" t="s">
        <v>6</v>
      </c>
      <c r="C208">
        <v>3.23</v>
      </c>
      <c r="D208" s="2">
        <f t="shared" si="21"/>
        <v>4.6117204301075265</v>
      </c>
      <c r="E208">
        <v>0.27419354838709697</v>
      </c>
      <c r="G208">
        <f t="shared" si="16"/>
        <v>4.6117204301075265</v>
      </c>
      <c r="H208">
        <f t="shared" si="17"/>
        <v>4.6117204301075265</v>
      </c>
    </row>
    <row r="209" spans="1:8" x14ac:dyDescent="0.35">
      <c r="A209" s="2" t="s">
        <v>28</v>
      </c>
      <c r="B209" t="s">
        <v>7</v>
      </c>
      <c r="C209">
        <v>3.23</v>
      </c>
      <c r="D209" s="2">
        <f t="shared" si="21"/>
        <v>5.1117204301075265</v>
      </c>
      <c r="E209">
        <v>0.77419354838709697</v>
      </c>
      <c r="G209">
        <f t="shared" si="16"/>
        <v>5</v>
      </c>
      <c r="H209">
        <f t="shared" si="17"/>
        <v>5</v>
      </c>
    </row>
    <row r="210" spans="1:8" x14ac:dyDescent="0.35">
      <c r="A210" s="2" t="s">
        <v>28</v>
      </c>
      <c r="B210" t="s">
        <v>8</v>
      </c>
      <c r="C210">
        <v>3.23</v>
      </c>
      <c r="D210" s="2">
        <f t="shared" si="21"/>
        <v>4.1117204301075265</v>
      </c>
      <c r="E210">
        <v>-0.22580645161290303</v>
      </c>
      <c r="G210">
        <f t="shared" si="16"/>
        <v>4.1117204301075265</v>
      </c>
      <c r="H210">
        <f t="shared" si="17"/>
        <v>4.1117204301075265</v>
      </c>
    </row>
    <row r="211" spans="1:8" x14ac:dyDescent="0.35">
      <c r="A211" s="2" t="s">
        <v>28</v>
      </c>
      <c r="B211" t="s">
        <v>9</v>
      </c>
      <c r="C211">
        <v>3.23</v>
      </c>
      <c r="D211" s="2">
        <f t="shared" si="21"/>
        <v>3.736720430107527</v>
      </c>
      <c r="E211">
        <v>-0.60080645161290303</v>
      </c>
      <c r="F211" s="2"/>
      <c r="G211">
        <f t="shared" si="16"/>
        <v>3.736720430107527</v>
      </c>
      <c r="H211">
        <f t="shared" si="17"/>
        <v>3.736720430107527</v>
      </c>
    </row>
    <row r="212" spans="1:8" x14ac:dyDescent="0.35">
      <c r="A212" s="2" t="s">
        <v>28</v>
      </c>
      <c r="B212" t="s">
        <v>10</v>
      </c>
      <c r="C212">
        <v>3.23</v>
      </c>
      <c r="D212" s="2">
        <f t="shared" si="21"/>
        <v>4.7783870967741935</v>
      </c>
      <c r="E212">
        <v>0.44086021505376349</v>
      </c>
      <c r="G212">
        <f t="shared" si="16"/>
        <v>4.7783870967741935</v>
      </c>
      <c r="H212">
        <f t="shared" si="17"/>
        <v>4.7783870967741935</v>
      </c>
    </row>
    <row r="213" spans="1:8" x14ac:dyDescent="0.35">
      <c r="A213" s="2" t="s">
        <v>28</v>
      </c>
      <c r="B213" t="s">
        <v>11</v>
      </c>
      <c r="C213">
        <v>3.23</v>
      </c>
      <c r="D213" s="2">
        <f t="shared" si="21"/>
        <v>3.7783870967741935</v>
      </c>
      <c r="E213">
        <v>-0.55913978494623651</v>
      </c>
      <c r="G213">
        <f t="shared" si="16"/>
        <v>3.7783870967741935</v>
      </c>
      <c r="H213">
        <f t="shared" si="17"/>
        <v>3.7783870967741935</v>
      </c>
    </row>
    <row r="217" spans="1:8" x14ac:dyDescent="0.35">
      <c r="B217">
        <v>0.7141158631055623</v>
      </c>
      <c r="C217">
        <f>SUM(B217:B232)/16</f>
        <v>0.87328611400161849</v>
      </c>
    </row>
    <row r="218" spans="1:8" x14ac:dyDescent="0.35">
      <c r="B218">
        <v>0.5207251821019766</v>
      </c>
      <c r="C218" s="2">
        <f>SQRT(C217)</f>
        <v>0.93449778705014519</v>
      </c>
      <c r="D218" s="1" t="s">
        <v>38</v>
      </c>
    </row>
    <row r="219" spans="1:8" x14ac:dyDescent="0.35">
      <c r="B219">
        <v>8.0582726326742626E-4</v>
      </c>
    </row>
    <row r="220" spans="1:8" x14ac:dyDescent="0.35">
      <c r="B220">
        <v>0.22241873048907351</v>
      </c>
    </row>
    <row r="221" spans="1:8" x14ac:dyDescent="0.35">
      <c r="B221">
        <v>8.0582726326742626E-4</v>
      </c>
    </row>
    <row r="222" spans="1:8" x14ac:dyDescent="0.35">
      <c r="B222">
        <v>3.1821956295525755E-2</v>
      </c>
    </row>
    <row r="223" spans="1:8" x14ac:dyDescent="0.35">
      <c r="B223">
        <v>4.9112278876170486E-2</v>
      </c>
    </row>
    <row r="224" spans="1:8" x14ac:dyDescent="0.35">
      <c r="B224">
        <v>2.4178577985894316</v>
      </c>
    </row>
    <row r="225" spans="2:2" x14ac:dyDescent="0.35">
      <c r="B225">
        <v>7.7499375650364424E-2</v>
      </c>
    </row>
    <row r="226" spans="2:2" x14ac:dyDescent="0.35">
      <c r="B226">
        <v>0.19807285235287336</v>
      </c>
    </row>
    <row r="227" spans="2:2" x14ac:dyDescent="0.35">
      <c r="B227">
        <v>0.19807285235287336</v>
      </c>
    </row>
    <row r="228" spans="2:2" x14ac:dyDescent="0.35">
      <c r="B228">
        <v>2.9639509885535889</v>
      </c>
    </row>
    <row r="229" spans="2:2" x14ac:dyDescent="0.35">
      <c r="B229">
        <v>1.6342735691987511</v>
      </c>
    </row>
    <row r="230" spans="2:2" x14ac:dyDescent="0.35">
      <c r="B230">
        <v>0.52072518210197594</v>
      </c>
    </row>
    <row r="231" spans="2:2" x14ac:dyDescent="0.35">
      <c r="B231">
        <v>0.30796532547115246</v>
      </c>
    </row>
    <row r="232" spans="2:2" x14ac:dyDescent="0.35">
      <c r="B232">
        <v>4.1143542143600413</v>
      </c>
    </row>
  </sheetData>
  <autoFilter ref="A21:P213" xr:uid="{18FED206-97A5-427F-8010-5F853131B0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proj_1_dataset</vt:lpstr>
      <vt:lpstr>training set</vt:lpstr>
      <vt:lpstr>test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Barbaro</cp:lastModifiedBy>
  <dcterms:created xsi:type="dcterms:W3CDTF">2026-05-30T02:48:11Z</dcterms:created>
  <dcterms:modified xsi:type="dcterms:W3CDTF">2026-06-01T14:48:50Z</dcterms:modified>
</cp:coreProperties>
</file>